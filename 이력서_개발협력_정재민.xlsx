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전문가 지원서 양식" sheetId="1" r:id="rId4"/>
    <sheet state="visible" name="전문가 지원총괄표" sheetId="2" r:id="rId5"/>
    <sheet state="visible" name="(참고) 선발 기준표" sheetId="3" r:id="rId6"/>
    <sheet state="visible" name="(참고) 전문가등급 산정 기준 " sheetId="4" r:id="rId7"/>
    <sheet state="hidden" name="참조" sheetId="5"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
      <text>
        <t xml:space="preserve">KOICA : △교육 △보건 △공공행정 △농림수산 △기술환경에너지 △성평등 △건축 △개발효과성 중 선택</t>
      </text>
    </comment>
    <comment authorId="0" ref="E12">
      <text>
        <t xml:space="preserve">KOICA:
참여시작 및 참여종료일 입력시 총 참여기간은 자동 합산됨.</t>
      </text>
    </comment>
    <comment authorId="0" ref="E32">
      <text>
        <t xml:space="preserve">KOICA:
참여시작 및 참여종료일 입력시 총 참여기간은 자동 합산됨.</t>
      </text>
    </comment>
    <comment authorId="0" ref="E62">
      <text>
        <t xml:space="preserve">KOICA: 참여시작 및 참여종료일 입력시 총 참여기간은 자동 합산됨.</t>
      </text>
    </comment>
    <comment authorId="0" ref="E68">
      <text>
        <t xml:space="preserve">KOICA:
참여시작 및 참여종료일 입력시 총 참여기간은 자동 합산됨.</t>
      </text>
    </comment>
  </commentList>
</comments>
</file>

<file path=xl/sharedStrings.xml><?xml version="1.0" encoding="utf-8"?>
<sst xmlns="http://schemas.openxmlformats.org/spreadsheetml/2006/main" count="253" uniqueCount="222">
  <si>
    <t>전문가 지원서</t>
  </si>
  <si>
    <t>지원사업명</t>
  </si>
  <si>
    <t>지원분야</t>
  </si>
  <si>
    <t>I. 기본정보</t>
  </si>
  <si>
    <t>성명(한글, 영문)</t>
  </si>
  <si>
    <t>정재민</t>
  </si>
  <si>
    <t>JAEMIN JEREMY BONAVENTURA JEONG</t>
  </si>
  <si>
    <t>생년월일</t>
  </si>
  <si>
    <t>1983.07.31</t>
  </si>
  <si>
    <t>이메일주소</t>
  </si>
  <si>
    <t>jaeminjjeong@gmail.com</t>
  </si>
  <si>
    <t>전화번호(휴대폰)</t>
  </si>
  <si>
    <t>010-5840-9500</t>
  </si>
  <si>
    <t>주 소</t>
  </si>
  <si>
    <t>서울특별시 강남구 논현로2길 37 201호</t>
  </si>
  <si>
    <r>
      <rPr>
        <rFont val="Calibri"/>
        <b/>
        <color theme="1"/>
        <sz val="14.0"/>
      </rPr>
      <t>II. 학력사항</t>
    </r>
    <r>
      <rPr>
        <rFont val="Calibri"/>
        <b val="0"/>
        <color theme="1"/>
        <sz val="14.0"/>
      </rPr>
      <t xml:space="preserve"> (학사 이상 기술)</t>
    </r>
  </si>
  <si>
    <t>경력가산 대상기간</t>
  </si>
  <si>
    <t>구분</t>
  </si>
  <si>
    <t>학교명 또는 기관명</t>
  </si>
  <si>
    <t>전공</t>
  </si>
  <si>
    <t>기간</t>
  </si>
  <si>
    <t>비고</t>
  </si>
  <si>
    <t>가산기간(Y)</t>
  </si>
  <si>
    <t>학사</t>
  </si>
  <si>
    <t>서울대학교</t>
  </si>
  <si>
    <t>공과대학</t>
  </si>
  <si>
    <t>2002.03 ~ 2010.02</t>
  </si>
  <si>
    <t>학위취득</t>
  </si>
  <si>
    <t>석사</t>
  </si>
  <si>
    <t>CITY UNIVERSITY OF LONDON</t>
  </si>
  <si>
    <t>데이터과학</t>
  </si>
  <si>
    <t>2016.09 ~ 2017.11</t>
  </si>
  <si>
    <t>박사</t>
  </si>
  <si>
    <t>기타</t>
  </si>
  <si>
    <t>III. 외국어 사항</t>
  </si>
  <si>
    <t>언어</t>
  </si>
  <si>
    <t>시험명</t>
  </si>
  <si>
    <t>점수 또는 레벨</t>
  </si>
  <si>
    <t>취득일</t>
  </si>
  <si>
    <t>말하기/듣기/읽기/쓰기</t>
  </si>
  <si>
    <t>영어</t>
  </si>
  <si>
    <t>IELTS</t>
  </si>
  <si>
    <t>7.0</t>
  </si>
  <si>
    <r>
      <rPr>
        <rFont val="Calibri"/>
        <b/>
        <color theme="1"/>
        <sz val="14.0"/>
      </rPr>
      <t xml:space="preserve">IV. ODA 교육 이수사항 </t>
    </r>
    <r>
      <rPr>
        <rFont val="Calibri"/>
        <b val="0"/>
        <color theme="1"/>
        <sz val="14.0"/>
      </rPr>
      <t>(지원사업 또는 분야관련 경력을 최신순으로 작성)</t>
    </r>
  </si>
  <si>
    <t>교육과정명</t>
  </si>
  <si>
    <t>교육기관</t>
  </si>
  <si>
    <t>이수일 또는 교육기간</t>
  </si>
  <si>
    <t>디지털정부 해외진출 컨설턴트 경력자 과정</t>
  </si>
  <si>
    <t>한국지능정보사회진흥원</t>
  </si>
  <si>
    <t>2025.10.20 ~ 2025.10.31</t>
  </si>
  <si>
    <t>디지털 정부 국제개발협력</t>
  </si>
  <si>
    <t>2024.09.23 ~ 2024.09.25</t>
  </si>
  <si>
    <t>PDM 집중 실습 과정</t>
  </si>
  <si>
    <t>부산글로벌도시재단</t>
  </si>
  <si>
    <t>2024.07.26 ~ 2024.07.27</t>
  </si>
  <si>
    <t>개발협력 M&amp;E</t>
  </si>
  <si>
    <t>2024.07.19</t>
  </si>
  <si>
    <r>
      <rPr>
        <rFont val="Calibri"/>
        <b/>
        <color theme="1"/>
        <sz val="14.0"/>
      </rPr>
      <t xml:space="preserve">V. 경력사항 </t>
    </r>
    <r>
      <rPr>
        <rFont val="Calibri"/>
        <b val="0"/>
        <color theme="1"/>
        <sz val="14.0"/>
      </rPr>
      <t>(지원사업 또는 분야관련 경력을 최신순으로 작성)</t>
    </r>
  </si>
  <si>
    <t>총 근무기간</t>
  </si>
  <si>
    <t>회사명</t>
  </si>
  <si>
    <t>근무부서/직위</t>
  </si>
  <si>
    <t>담당업무</t>
  </si>
  <si>
    <t>근무시작일</t>
  </si>
  <si>
    <t>근무종료일</t>
  </si>
  <si>
    <t>근무기간(D)</t>
  </si>
  <si>
    <t>근무기간(Y)</t>
  </si>
  <si>
    <t>근무기간(M)</t>
  </si>
  <si>
    <t>보나벤투라</t>
  </si>
  <si>
    <t>IT전문가</t>
  </si>
  <si>
    <t>AI, IT 설계 정책 자문 감리 컨설팅 등</t>
  </si>
  <si>
    <t>국민대학교</t>
  </si>
  <si>
    <t>소프트웨어융합대학원/강사</t>
  </si>
  <si>
    <t>데이터과학 강의</t>
  </si>
  <si>
    <t>데이터엔코리아</t>
  </si>
  <si>
    <t>IT컨설턴트/차장</t>
  </si>
  <si>
    <t>산업은행 ERP 구축 등</t>
  </si>
  <si>
    <t>코리아카본매니지먼트</t>
  </si>
  <si>
    <t>사업기획/대리</t>
  </si>
  <si>
    <t>사업기획 통번역 ADMIN</t>
  </si>
  <si>
    <t>조선일보사</t>
  </si>
  <si>
    <t>회계팀/사원</t>
  </si>
  <si>
    <t>세무, 재무회계, 전표</t>
  </si>
  <si>
    <t>한국방송광고공사</t>
  </si>
  <si>
    <t>뉴미디어팀/인턴</t>
  </si>
  <si>
    <t>시스템개발 데이터분석</t>
  </si>
  <si>
    <r>
      <rPr>
        <rFont val="Calibri"/>
        <b/>
        <color theme="1"/>
        <sz val="14.0"/>
      </rPr>
      <t xml:space="preserve">VI. 경험사항 </t>
    </r>
    <r>
      <rPr>
        <rFont val="Calibri"/>
        <b val="0"/>
        <color theme="1"/>
        <sz val="14.0"/>
      </rPr>
      <t>(금전적 보수를 받지 않고 일정기간 동안 지원사업 또는 분야관련 일했던 경험을 최신순으로 작성)</t>
    </r>
  </si>
  <si>
    <t>회사명/기관명</t>
  </si>
  <si>
    <t>Irish Associations of Korea</t>
  </si>
  <si>
    <t>Digital Officer</t>
  </si>
  <si>
    <t>웹사이트 관리 이벤트 스태프</t>
  </si>
  <si>
    <t>PLUR</t>
  </si>
  <si>
    <t>Volunteer</t>
  </si>
  <si>
    <t>외국인과 함께 영등포 서울역 노숙자 푸드배식</t>
  </si>
  <si>
    <t>세이브더칠드런</t>
  </si>
  <si>
    <t>Donor</t>
  </si>
  <si>
    <t>후원자</t>
  </si>
  <si>
    <t>유니세프</t>
  </si>
  <si>
    <t>서울외국인주민센터</t>
  </si>
  <si>
    <t>봉사자</t>
  </si>
  <si>
    <t>사무지원 엑셀 코딩 업무</t>
  </si>
  <si>
    <t>Auckland City Mission</t>
  </si>
  <si>
    <t>조식 주방보조 배식 / 기부물품분류판매 / 푸드박스포장배송</t>
  </si>
  <si>
    <t>행복나눔봉사회</t>
  </si>
  <si>
    <t>용산구 쪽방촌 주거환경 개선 자원봉사자 모집</t>
  </si>
  <si>
    <t>아름다운세상모두함께</t>
  </si>
  <si>
    <t>사회취약계층 급식 조리 및 지원</t>
  </si>
  <si>
    <t>수원 매탄 나눔도서관</t>
  </si>
  <si>
    <t>독거노인, 장애우가정, 결식아동,사랑의 국수</t>
  </si>
  <si>
    <t>강남교육복지센터</t>
  </si>
  <si>
    <t>1:1 학습정서 멘토링</t>
  </si>
  <si>
    <r>
      <rPr>
        <rFont val="Calibri"/>
        <b/>
        <color theme="1"/>
        <sz val="14.0"/>
      </rPr>
      <t xml:space="preserve">VII. 자격사항 </t>
    </r>
    <r>
      <rPr>
        <rFont val="Calibri"/>
        <b val="0"/>
        <color theme="1"/>
        <sz val="14.0"/>
      </rPr>
      <t>(지원사업 또는 지원분야 관련 자격위주로 작성)</t>
    </r>
  </si>
  <si>
    <t>자격증명</t>
  </si>
  <si>
    <t>발행처</t>
  </si>
  <si>
    <t>해당 자격증 여부</t>
  </si>
  <si>
    <t>디지털정부 해외진출 컨설턴트 경력자</t>
  </si>
  <si>
    <t>행정안전부, 한국지능정보사회진흥원</t>
  </si>
  <si>
    <t>2025.10.31</t>
  </si>
  <si>
    <t>O</t>
  </si>
  <si>
    <t>디지털정부 국제개발협력 전문가</t>
  </si>
  <si>
    <t>2024.09.25</t>
  </si>
  <si>
    <t>VIII. 국내외 유사사업 참여경험</t>
  </si>
  <si>
    <t>총 참여기간</t>
  </si>
  <si>
    <t>사업명(소관)</t>
  </si>
  <si>
    <t>(소속)담당업무</t>
  </si>
  <si>
    <t>참여시작일</t>
  </si>
  <si>
    <t>참여종료일</t>
  </si>
  <si>
    <t>근무기간(일)</t>
  </si>
  <si>
    <t>페루정부 DGCC AI 적용방안</t>
  </si>
  <si>
    <t>보고서작성, 컨설팅</t>
  </si>
  <si>
    <t>KDB 산업은행 NLP 시스템 구축</t>
  </si>
  <si>
    <t>디지털 컨설팅</t>
  </si>
  <si>
    <t>한국방송광고공사 AISAC사전용역</t>
  </si>
  <si>
    <t>IX. 연구실적(지원사업 또는 지원분야 관련만 작성)</t>
  </si>
  <si>
    <t>저자명</t>
  </si>
  <si>
    <t>제목</t>
  </si>
  <si>
    <t>논문집명</t>
  </si>
  <si>
    <t>발행년월</t>
  </si>
  <si>
    <t>발표기관명</t>
  </si>
  <si>
    <t>Jeremy Jaemin Jeong</t>
  </si>
  <si>
    <t>TV show rating prediction by Machine Learning methods with quantisation of the review</t>
  </si>
  <si>
    <t>Masters Project Dissertation</t>
  </si>
  <si>
    <t>2017.11.</t>
  </si>
  <si>
    <t>City, University of London</t>
  </si>
  <si>
    <t>※ 지원서에 기입한 모든 내용에 대한 증빙서류 제출이 가능하여야 함</t>
  </si>
  <si>
    <t>X. 과업 수행 계획 및 기타 제언사항</t>
  </si>
  <si>
    <t>과업수행계획
및
기타 제언사항</t>
  </si>
  <si>
    <t>전문가 지원 총괄표</t>
  </si>
  <si>
    <t>연번</t>
  </si>
  <si>
    <t>사업명</t>
  </si>
  <si>
    <t>이름(한글)</t>
  </si>
  <si>
    <t>이름(영문)</t>
  </si>
  <si>
    <t>소속</t>
  </si>
  <si>
    <t>직위</t>
  </si>
  <si>
    <t>분야</t>
  </si>
  <si>
    <t>등급</t>
  </si>
  <si>
    <t>이메일</t>
  </si>
  <si>
    <t>전화번호</t>
  </si>
  <si>
    <t>언어 1</t>
  </si>
  <si>
    <t>언어 2</t>
  </si>
  <si>
    <t>언어 3</t>
  </si>
  <si>
    <t>심사자(지역)</t>
  </si>
  <si>
    <t>점수</t>
  </si>
  <si>
    <t>심사자(섹터)</t>
  </si>
  <si>
    <t>심사자(사무소)</t>
  </si>
  <si>
    <t>평균</t>
  </si>
  <si>
    <r>
      <rPr>
        <rFont val="함초롬바탕"/>
        <b/>
        <color rgb="FF000000"/>
        <sz val="14.0"/>
      </rPr>
      <t xml:space="preserve">전문가 선발 심사표 </t>
    </r>
    <r>
      <rPr>
        <rFont val="함초롬바탕"/>
        <b val="0"/>
        <color rgb="FF000000"/>
        <sz val="11.0"/>
      </rPr>
      <t>(2019.12.30. 개정)</t>
    </r>
  </si>
  <si>
    <t>항목</t>
  </si>
  <si>
    <t>심사기준</t>
  </si>
  <si>
    <t>배점</t>
  </si>
  <si>
    <t>과업 이해도</t>
  </si>
  <si>
    <t>ㅇ 지원사업 이해도</t>
  </si>
  <si>
    <t>ㅇ 과업범위 이해도 등</t>
  </si>
  <si>
    <t>과업 수행능력</t>
  </si>
  <si>
    <t>ㅇ 해당분야 자격요건 부합도</t>
  </si>
  <si>
    <r>
      <rPr>
        <rFont val="함초롬바탕"/>
        <color rgb="FF000000"/>
        <sz val="13.0"/>
      </rPr>
      <t xml:space="preserve">  -</t>
    </r>
    <r>
      <rPr>
        <rFont val="함초롬바탕"/>
        <color rgb="FF000000"/>
        <sz val="11.0"/>
      </rPr>
      <t xml:space="preserve"> 자격사항 또는 외국어 능력 등 </t>
    </r>
  </si>
  <si>
    <t>ㅇ 해당분야 근무경력 부합도</t>
  </si>
  <si>
    <t>ㅇ 유사사업(ODA 포함) 참여 실적</t>
  </si>
  <si>
    <t>총계</t>
  </si>
  <si>
    <t>※ 범례</t>
  </si>
  <si>
    <t>- 동 지침으로 선발 예정인 모든 전문가를 대상으로 하나, 현지 전문가, 초급 전문가 또는 타 평가 체계가 필요한 경우에는 별도의 평가 항목을 설정할 수 있음</t>
  </si>
  <si>
    <t xml:space="preserve">※ 종합평점에 따른 선발 </t>
  </si>
  <si>
    <t>- 종합 평점 최고득점자 순으로 선발(80점 이상 득점자 적격 판정)하며, 최고득점자 미선발시 차순위득점자 순으로 선발 가능</t>
  </si>
  <si>
    <r>
      <rPr>
        <rFont val="Calibri"/>
        <b/>
        <color theme="1"/>
        <sz val="11.0"/>
      </rPr>
      <t>전문가 등급 기준</t>
    </r>
    <r>
      <rPr>
        <rFont val="Calibri"/>
        <color theme="1"/>
        <sz val="11.0"/>
      </rPr>
      <t xml:space="preserve"> </t>
    </r>
    <r>
      <rPr>
        <rFont val="Calibri"/>
        <color theme="1"/>
        <sz val="10.0"/>
      </rPr>
      <t>&lt;개정 2022.08.11., 2023.07.13.&gt;</t>
    </r>
  </si>
  <si>
    <t>자격 요건</t>
  </si>
  <si>
    <t>1급</t>
  </si>
  <si>
    <r>
      <rPr>
        <rFont val="함초롬바탕"/>
        <color rgb="FF000000"/>
        <sz val="10.0"/>
      </rPr>
      <t>ㅇ</t>
    </r>
    <r>
      <rPr>
        <rFont val="Calibri"/>
        <color rgb="FF000000"/>
        <sz val="10.0"/>
      </rPr>
      <t xml:space="preserve"> </t>
    </r>
    <r>
      <rPr>
        <rFont val="함초롬바탕"/>
        <color rgb="FF000000"/>
        <sz val="10.0"/>
      </rPr>
      <t>국제개발협력사업 또는 해당분야 경력 20년 이상 또는 아래의 직위 요건을 충족하는 자</t>
    </r>
  </si>
  <si>
    <t>ㅇ 3급 이상 공무원으로 3년 이상 경력자</t>
  </si>
  <si>
    <t>ㅇ 4년제 대학 정교수로 3년 이상 경력자</t>
  </si>
  <si>
    <r>
      <rPr>
        <rFont val="함초롬바탕"/>
        <color rgb="FF000000"/>
        <sz val="10.0"/>
      </rPr>
      <t>ㅇ</t>
    </r>
    <r>
      <rPr>
        <rFont val="Calibri"/>
        <color rgb="FF000000"/>
        <sz val="10.0"/>
      </rPr>
      <t xml:space="preserve"> </t>
    </r>
    <r>
      <rPr>
        <rFont val="함초롬바탕"/>
        <color rgb="FF000000"/>
        <sz val="10.0"/>
      </rPr>
      <t>공공기관의 임원으로 2년 이상 경력자 또는 책임연구원 상당으로 8년 이상 경력자</t>
    </r>
  </si>
  <si>
    <t>2급</t>
  </si>
  <si>
    <r>
      <rPr>
        <rFont val="함초롬바탕"/>
        <color rgb="FF000000"/>
        <sz val="10.0"/>
      </rPr>
      <t>ㅇ</t>
    </r>
    <r>
      <rPr>
        <rFont val="Calibri"/>
        <color rgb="FF000000"/>
        <sz val="10.0"/>
      </rPr>
      <t xml:space="preserve"> </t>
    </r>
    <r>
      <rPr>
        <rFont val="함초롬바탕"/>
        <color rgb="FF000000"/>
        <sz val="10.0"/>
      </rPr>
      <t>국제개발협력사업 또는 해당분야 경력 15년 이상 또는 아래의 직위 요건을 충족하는 자</t>
    </r>
  </si>
  <si>
    <t>ㅇ 4급 이상 공무원 경력자</t>
  </si>
  <si>
    <t>ㅇ 4년제 대학 정교수 또는 3년 이상 부교수의 경력자</t>
  </si>
  <si>
    <t>ㅇ 공공기관의 1급 또는 책임연구원 상당으로 5년 이상 경력자</t>
  </si>
  <si>
    <t>3급</t>
  </si>
  <si>
    <r>
      <rPr>
        <rFont val="함초롬바탕"/>
        <color rgb="FF000000"/>
        <sz val="10.0"/>
      </rPr>
      <t>ㅇ</t>
    </r>
    <r>
      <rPr>
        <rFont val="Calibri"/>
        <color rgb="FF000000"/>
        <sz val="10.0"/>
      </rPr>
      <t xml:space="preserve"> </t>
    </r>
    <r>
      <rPr>
        <rFont val="함초롬바탕"/>
        <color rgb="FF000000"/>
        <sz val="10.0"/>
      </rPr>
      <t>국제개발협력사업 또는 해당분야 경력 10년 이상 또는 아래의 직위 요건을 충족하는 자</t>
    </r>
  </si>
  <si>
    <t>ㅇ 5급 이상 공무원 경력자</t>
  </si>
  <si>
    <t>ㅇ 4년제 대학 부교수 또는 2년 이상 조교수의 경력자</t>
  </si>
  <si>
    <t>ㅇ 공공기관의 2,3급 또는 책임연구원 상당의 경력자</t>
  </si>
  <si>
    <t>4급</t>
  </si>
  <si>
    <r>
      <rPr>
        <rFont val="함초롬바탕"/>
        <color rgb="FF000000"/>
        <sz val="10.0"/>
      </rPr>
      <t>ㅇ</t>
    </r>
    <r>
      <rPr>
        <rFont val="Calibri"/>
        <color rgb="FF000000"/>
        <sz val="10.0"/>
      </rPr>
      <t xml:space="preserve"> </t>
    </r>
    <r>
      <rPr>
        <rFont val="함초롬바탕"/>
        <color rgb="FF000000"/>
        <sz val="10.0"/>
      </rPr>
      <t>국제개발협력사업 또는 해당분야</t>
    </r>
    <r>
      <rPr>
        <rFont val="Calibri"/>
        <color rgb="FF000000"/>
        <sz val="10.0"/>
      </rPr>
      <t xml:space="preserve"> </t>
    </r>
    <r>
      <rPr>
        <rFont val="함초롬바탕"/>
        <color rgb="FF000000"/>
        <sz val="10.0"/>
      </rPr>
      <t>경력 7년 이상 또는 아래의 직위 요건을 충족하는 자</t>
    </r>
  </si>
  <si>
    <t>ㅇ 7급 이상 공무원 경력자</t>
  </si>
  <si>
    <t>ㅇ 4년제 대학 조교수의 경력자</t>
  </si>
  <si>
    <t>ㅇ 공공기관의 4급 경력자</t>
  </si>
  <si>
    <t>5급</t>
  </si>
  <si>
    <t>ㅇ 국제개발협력사업 또는 해당분야 경력 3년 이상을 충족하는 자</t>
  </si>
  <si>
    <t>6급</t>
  </si>
  <si>
    <t>ㅇ 5급에 해당되지 아니한 자</t>
  </si>
  <si>
    <t>① 경력 산정에 관한 기준
 - 근무 기간이 6개월 이상의 경력만 인정. 동일기간의 중복 경력 산정은 불가
 - 해당분야 기준 : 다음의 8개 분야를 기준으로 산정하며, 서로 다른 분야에 대한 등급은 최대 3개까지 인정 가능 (해당경력을 분야별로 각각 반영하여 산정함)(△교육 △보건 △공공행정 △농림수산 △기술환경에너지 △성평등 △건축 △개발효과성)
 - 국제개발협력사업 경력 인정 기준 : △한국해외봉사단원 활동 △KOICA 해외봉사단 또는 개발협력 코디네이터 근무 경력 △UN 등 국제기구 근무 경력 △국내외 국제개발 NGO 근무 경력 △한국국제협력단 등 국제개발협력 유관 기관 근무 경력 등</t>
  </si>
  <si>
    <t>② 학위 및 자격에 대한 가산
 - 석사 및 박사학위 소지자는: 각 2년, 5년을 경력으로 가산하되, 둘 다 보유한 경우는 5년 가산(단, 석사 학위가 2개 이상인 경우에는 2년만 가산. 재직 중 취득한 학위 인정)
 - 의사, 변호사, 회계사 자격 취득자 10년 가산
   의사는 의사면허증 취득자를 의미하며, 회계사는 공인회계사법 시행령 제12조 1항에 따라 실무수습을 행하고, 공인회계사법 제7조 1항에 따라 등록한 자를 말하며, 변호사는 변호사법 제7조 제1항에 따라 대한변호사협회에 등록한 자를 말한다. 해외 자격증 보유자의 경우 자격증을 취득한 국가 정부에서 공식적으로 인정하는 자격증에 한하여 동일한 기준(10년)을 적용한다.
 - 「국가기술자격법 시행령」 상 기술사 및 「건축사법」 상 건축사는 10년 가산, 「국가기술자격법 시행령」 상 기사는 1년 가산(단, 산업기사 자격은 가산 대상에 포함하지 않음)
   기술사는 국가기술자격자 기준, 해당 전문분야의 관련 기술사자격을 가진 사람을 뜻하며, 기사는 해당 전문분야의 관련 기사자격을 가진 사람을 의미한다. 건축사는 「건축사법」에 따른 건축사를 말한다. 
 - 학위와 자격을 둘 다 합산할 수 없음</t>
  </si>
  <si>
    <t>③ 외국인 전문가 활용 시에는 국내법 기준이 아닌 해당국가 유사 법령에 따른 자격 요건 준용 가능</t>
  </si>
  <si>
    <t>외국어</t>
  </si>
  <si>
    <t>자격증</t>
  </si>
  <si>
    <t>의사, 변호사 또는 회계사</t>
  </si>
  <si>
    <t>스페인어</t>
  </si>
  <si>
    <t>건축사 또는 기술사(산업기사X)</t>
  </si>
  <si>
    <t>프랑스어</t>
  </si>
  <si>
    <t>기사(산업기사X)</t>
  </si>
  <si>
    <t>아랍어</t>
  </si>
  <si>
    <t>러시아어</t>
  </si>
  <si>
    <t>중국어</t>
  </si>
  <si>
    <t>베트남어</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</si>
</sst>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_);[Red]\(0\)"/>
    <numFmt numFmtId="165" formatCode="###\-####\-####"/>
    <numFmt numFmtId="166" formatCode="D/M/YYYY"/>
    <numFmt numFmtId="167" formatCode="yyyy-mm-dd"/>
    <numFmt numFmtId="168" formatCode="yyyy&quot;-&quot;m&quot;-&quot;d"/>
    <numFmt numFmtId="169" formatCode="dd-mm"/>
    <numFmt numFmtId="170" formatCode="d/m/yyyy"/>
    <numFmt numFmtId="171" formatCode="yyyy\-mm\-dd"/>
    <numFmt numFmtId="172" formatCode="0_ "/>
  </numFmts>
  <fonts count="36">
    <font>
      <sz val="11.0"/>
      <color theme="1"/>
      <name val="Calibri"/>
      <scheme val="minor"/>
    </font>
    <font>
      <sz val="11.0"/>
      <color theme="1"/>
      <name val="Calibri"/>
    </font>
    <font>
      <sz val="12.0"/>
      <color theme="1"/>
      <name val="Calibri"/>
    </font>
    <font>
      <b/>
      <sz val="26.0"/>
      <color theme="1"/>
      <name val="Calibri"/>
    </font>
    <font>
      <b/>
      <sz val="20.0"/>
      <color theme="1"/>
      <name val="Calibri"/>
    </font>
    <font>
      <b/>
      <sz val="11.0"/>
      <color theme="1"/>
      <name val="Calibri"/>
    </font>
    <font>
      <b/>
      <sz val="14.0"/>
      <color theme="1"/>
      <name val="Calibri"/>
    </font>
    <font/>
    <font>
      <b/>
      <sz val="14.0"/>
      <color rgb="FF000000"/>
      <name val="Calibri"/>
    </font>
    <font>
      <b/>
      <sz val="12.0"/>
      <color theme="1"/>
      <name val="Calibri"/>
    </font>
    <font>
      <sz val="14.0"/>
      <color theme="1"/>
      <name val="Malgun Gothic"/>
    </font>
    <font>
      <sz val="12.0"/>
      <color theme="1"/>
      <name val="Malgun Gothic"/>
    </font>
    <font>
      <sz val="12.0"/>
      <color rgb="FF0563C1"/>
      <name val="Malgun Gothic"/>
    </font>
    <font>
      <sz val="10.0"/>
      <color theme="1"/>
      <name val="Calibri"/>
    </font>
    <font>
      <sz val="14.0"/>
      <color theme="1"/>
      <name val="Calibri"/>
    </font>
    <font>
      <sz val="9.0"/>
      <color theme="1"/>
      <name val="Malgun Gothic"/>
    </font>
    <font>
      <sz val="11.0"/>
      <color theme="1"/>
      <name val="Malgun Gothic"/>
    </font>
    <font>
      <b/>
      <sz val="10.0"/>
      <color theme="1"/>
      <name val="Calibri"/>
    </font>
    <font>
      <color theme="1"/>
      <name val="Malgun Gothic"/>
    </font>
    <font>
      <sz val="8.0"/>
      <color theme="1"/>
      <name val="Malgun Gothic"/>
    </font>
    <font>
      <i/>
      <sz val="12.0"/>
      <color rgb="FFAEABAB"/>
      <name val="Calibri"/>
    </font>
    <font>
      <sz val="10.0"/>
      <color theme="1"/>
      <name val="Malgun Gothic"/>
    </font>
    <font>
      <sz val="14.0"/>
      <color rgb="FF000000"/>
      <name val="Calibri"/>
    </font>
    <font>
      <sz val="12.0"/>
      <color rgb="FF000000"/>
      <name val="Calibri"/>
    </font>
    <font>
      <sz val="7.0"/>
      <color rgb="FF000000"/>
      <name val="Calibri"/>
    </font>
    <font>
      <b/>
      <sz val="10.0"/>
      <color theme="0"/>
      <name val="Calibri"/>
    </font>
    <font>
      <sz val="10.0"/>
      <color rgb="FF000000"/>
      <name val="Calibri"/>
    </font>
    <font>
      <b/>
      <sz val="14.0"/>
      <color rgb="FF000000"/>
      <name val="함초롬바탕"/>
    </font>
    <font>
      <b/>
      <sz val="13.0"/>
      <color rgb="FF000000"/>
      <name val="함초롬바탕"/>
    </font>
    <font>
      <sz val="13.0"/>
      <color rgb="FF000000"/>
      <name val="함초롬바탕"/>
    </font>
    <font>
      <sz val="7.0"/>
      <color rgb="FF000000"/>
      <name val="함초롬바탕"/>
    </font>
    <font>
      <sz val="12.0"/>
      <color theme="1"/>
      <name val="함초롬바탕"/>
    </font>
    <font>
      <b/>
      <sz val="10.0"/>
      <color rgb="FF000000"/>
      <name val="함초롬바탕"/>
    </font>
    <font>
      <sz val="10.0"/>
      <color rgb="FF000000"/>
      <name val="함초롬바탕"/>
    </font>
    <font>
      <sz val="9.0"/>
      <color rgb="FF000000"/>
      <name val="함초롬돋움"/>
    </font>
    <font>
      <sz val="9.0"/>
      <color theme="1"/>
      <name val="Calibri"/>
    </font>
  </fonts>
  <fills count="7">
    <fill>
      <patternFill patternType="none"/>
    </fill>
    <fill>
      <patternFill patternType="lightGray"/>
    </fill>
    <fill>
      <patternFill patternType="solid">
        <fgColor rgb="FFDEEAF6"/>
        <bgColor rgb="FFDEEAF6"/>
      </patternFill>
    </fill>
    <fill>
      <patternFill patternType="solid">
        <fgColor theme="0"/>
        <bgColor theme="0"/>
      </patternFill>
    </fill>
    <fill>
      <patternFill patternType="solid">
        <fgColor rgb="FF2E75B5"/>
        <bgColor rgb="FF2E75B5"/>
      </patternFill>
    </fill>
    <fill>
      <patternFill patternType="solid">
        <fgColor rgb="FFF1F1F1"/>
        <bgColor rgb="FFF1F1F1"/>
      </patternFill>
    </fill>
    <fill>
      <patternFill patternType="solid">
        <fgColor rgb="FFE5E5E5"/>
        <bgColor rgb="FFE5E5E5"/>
      </patternFill>
    </fill>
  </fills>
  <borders count="3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top style="thin">
        <color rgb="FF000000"/>
      </top>
    </border>
    <border>
      <bottom style="thin">
        <color rgb="FF000000"/>
      </bottom>
    </border>
    <border>
      <left style="thin">
        <color rgb="FF000000"/>
      </left>
      <right style="thin">
        <color rgb="FF000000"/>
      </right>
      <top style="thin">
        <color rgb="FF000000"/>
      </top>
      <bottom style="double">
        <color rgb="FF000000"/>
      </bottom>
    </border>
    <border>
      <left style="thin">
        <color rgb="FF000000"/>
      </left>
      <right style="thin">
        <color rgb="FF000000"/>
      </right>
      <top style="double">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ttom style="double">
        <color rgb="FF000000"/>
      </bottom>
    </border>
    <border>
      <right style="thin">
        <color rgb="FF000000"/>
      </right>
      <top style="thin">
        <color rgb="FF000000"/>
      </top>
      <bottom style="double">
        <color rgb="FF000000"/>
      </bottom>
    </border>
    <border>
      <left style="thick">
        <color rgb="FF000000"/>
      </left>
      <right style="thin">
        <color rgb="FF000000"/>
      </right>
      <top style="thick">
        <color rgb="FF000000"/>
      </top>
      <bottom style="double">
        <color rgb="FF000000"/>
      </bottom>
    </border>
    <border>
      <left style="thin">
        <color rgb="FF000000"/>
      </left>
      <right style="thick">
        <color rgb="FF000000"/>
      </right>
      <top style="thick">
        <color rgb="FF000000"/>
      </top>
      <bottom style="double">
        <color rgb="FF000000"/>
      </bottom>
    </border>
    <border>
      <left style="thick">
        <color rgb="FF000000"/>
      </left>
      <right style="thin">
        <color rgb="FF000000"/>
      </right>
      <top style="double">
        <color rgb="FF000000"/>
      </top>
    </border>
    <border>
      <left style="thin">
        <color rgb="FF000000"/>
      </left>
      <right style="thick">
        <color rgb="FF000000"/>
      </right>
      <top style="double">
        <color rgb="FF000000"/>
      </top>
    </border>
    <border>
      <left style="thick">
        <color rgb="FF000000"/>
      </left>
      <right style="thin">
        <color rgb="FF000000"/>
      </right>
    </border>
    <border>
      <left style="thin">
        <color rgb="FF000000"/>
      </left>
      <right style="thick">
        <color rgb="FF000000"/>
      </right>
    </border>
    <border>
      <left style="thick">
        <color rgb="FF000000"/>
      </left>
      <right style="thin">
        <color rgb="FF000000"/>
      </right>
      <bottom style="thin">
        <color rgb="FF000000"/>
      </bottom>
    </border>
    <border>
      <left style="thin">
        <color rgb="FF000000"/>
      </left>
      <right style="thick">
        <color rgb="FF000000"/>
      </right>
      <bottom style="thin">
        <color rgb="FF000000"/>
      </bottom>
    </border>
    <border>
      <left style="thick">
        <color rgb="FF000000"/>
      </left>
      <right style="thin">
        <color rgb="FF000000"/>
      </right>
      <top style="thin">
        <color rgb="FF000000"/>
      </top>
    </border>
    <border>
      <left style="thin">
        <color rgb="FF000000"/>
      </left>
      <right style="thick">
        <color rgb="FF000000"/>
      </right>
      <top style="thin">
        <color rgb="FF000000"/>
      </top>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s>
  <cellStyleXfs count="1">
    <xf borderId="0" fillId="0" fontId="0" numFmtId="0" applyAlignment="1" applyFont="1"/>
  </cellStyleXfs>
  <cellXfs count="157">
    <xf borderId="0" fillId="0" fontId="0" numFmtId="0" xfId="0" applyAlignment="1" applyFont="1">
      <alignment readingOrder="0" shrinkToFit="0" vertical="center" wrapText="0"/>
    </xf>
    <xf borderId="0" fillId="0" fontId="1" numFmtId="0" xfId="0" applyAlignment="1" applyFont="1">
      <alignment vertical="center"/>
    </xf>
    <xf borderId="0" fillId="0" fontId="2" numFmtId="0" xfId="0" applyAlignment="1" applyFont="1">
      <alignment vertical="center"/>
    </xf>
    <xf borderId="0" fillId="0" fontId="3" numFmtId="0" xfId="0" applyAlignment="1" applyFont="1">
      <alignment horizontal="center" readingOrder="0" vertical="center"/>
    </xf>
    <xf borderId="0" fillId="0" fontId="4" numFmtId="0" xfId="0" applyAlignment="1" applyFont="1">
      <alignment horizontal="center" vertical="center"/>
    </xf>
    <xf borderId="0" fillId="0" fontId="5" numFmtId="0" xfId="0" applyAlignment="1" applyFont="1">
      <alignment vertical="center"/>
    </xf>
    <xf borderId="1" fillId="2" fontId="6" numFmtId="0" xfId="0" applyAlignment="1" applyBorder="1" applyFill="1" applyFont="1">
      <alignment horizontal="center" vertical="center"/>
    </xf>
    <xf borderId="2" fillId="0" fontId="6" numFmtId="0" xfId="0" applyAlignment="1" applyBorder="1" applyFont="1">
      <alignment horizontal="center" vertical="center"/>
    </xf>
    <xf borderId="3" fillId="0" fontId="7" numFmtId="0" xfId="0" applyAlignment="1" applyBorder="1" applyFont="1">
      <alignment vertical="center"/>
    </xf>
    <xf borderId="4" fillId="0" fontId="7" numFmtId="0" xfId="0" applyAlignment="1" applyBorder="1" applyFont="1">
      <alignment vertical="center"/>
    </xf>
    <xf borderId="0" fillId="0" fontId="2" numFmtId="0" xfId="0" applyAlignment="1" applyFont="1">
      <alignment horizontal="center" vertical="center"/>
    </xf>
    <xf borderId="2" fillId="0" fontId="8" numFmtId="0" xfId="0" applyAlignment="1" applyBorder="1" applyFont="1">
      <alignment horizontal="center" vertical="center"/>
    </xf>
    <xf borderId="0" fillId="0" fontId="9" numFmtId="0" xfId="0" applyAlignment="1" applyFont="1">
      <alignment horizontal="center" vertical="center"/>
    </xf>
    <xf borderId="0" fillId="0" fontId="9" numFmtId="0" xfId="0" applyAlignment="1" applyFont="1">
      <alignment vertical="center"/>
    </xf>
    <xf borderId="0" fillId="0" fontId="6" numFmtId="0" xfId="0" applyAlignment="1" applyFont="1">
      <alignment horizontal="left" vertical="center"/>
    </xf>
    <xf borderId="0" fillId="0" fontId="6" numFmtId="0" xfId="0" applyAlignment="1" applyFont="1">
      <alignment horizontal="center" vertical="center"/>
    </xf>
    <xf borderId="0" fillId="0" fontId="6" numFmtId="0" xfId="0" applyAlignment="1" applyFont="1">
      <alignment vertical="center"/>
    </xf>
    <xf borderId="0" fillId="0" fontId="1" numFmtId="0" xfId="0" applyAlignment="1" applyFont="1">
      <alignment horizontal="center" vertical="center"/>
    </xf>
    <xf borderId="5" fillId="0" fontId="10" numFmtId="0" xfId="0" applyAlignment="1" applyBorder="1" applyFont="1">
      <alignment horizontal="center" vertical="center"/>
    </xf>
    <xf borderId="5" fillId="0" fontId="11" numFmtId="0" xfId="0" applyAlignment="1" applyBorder="1" applyFont="1">
      <alignment horizontal="center" readingOrder="0" vertical="center"/>
    </xf>
    <xf borderId="1" fillId="0" fontId="10" numFmtId="0" xfId="0" applyAlignment="1" applyBorder="1" applyFont="1">
      <alignment horizontal="center" vertical="center"/>
    </xf>
    <xf borderId="0" fillId="0" fontId="2" numFmtId="164" xfId="0" applyAlignment="1" applyFont="1" applyNumberFormat="1">
      <alignment horizontal="center" vertical="center"/>
    </xf>
    <xf borderId="6" fillId="2" fontId="6" numFmtId="0" xfId="0" applyAlignment="1" applyBorder="1" applyFont="1">
      <alignment horizontal="center" vertical="center"/>
    </xf>
    <xf borderId="2" fillId="0" fontId="12" numFmtId="0" xfId="0" applyAlignment="1" applyBorder="1" applyFont="1">
      <alignment horizontal="center" vertical="center"/>
    </xf>
    <xf borderId="7" fillId="2" fontId="6" numFmtId="0" xfId="0" applyAlignment="1" applyBorder="1" applyFont="1">
      <alignment horizontal="center" vertical="center"/>
    </xf>
    <xf borderId="1" fillId="0" fontId="10" numFmtId="165" xfId="0" applyAlignment="1" applyBorder="1" applyFont="1" applyNumberFormat="1">
      <alignment horizontal="center" vertical="center"/>
    </xf>
    <xf borderId="0" fillId="0" fontId="2" numFmtId="49" xfId="0" applyAlignment="1" applyFont="1" applyNumberFormat="1">
      <alignment horizontal="center" vertical="center"/>
    </xf>
    <xf borderId="2" fillId="0" fontId="10" numFmtId="0" xfId="0" applyAlignment="1" applyBorder="1" applyFont="1">
      <alignment horizontal="center" vertical="center"/>
    </xf>
    <xf borderId="1" fillId="0" fontId="6" numFmtId="0" xfId="0" applyAlignment="1" applyBorder="1" applyFont="1">
      <alignment horizontal="center" vertical="center"/>
    </xf>
    <xf borderId="0" fillId="0" fontId="13" numFmtId="0" xfId="0" applyAlignment="1" applyFont="1">
      <alignment horizontal="center" vertical="center"/>
    </xf>
    <xf borderId="1" fillId="0" fontId="10" numFmtId="0" xfId="0" applyAlignment="1" applyBorder="1" applyFont="1">
      <alignment horizontal="center" shrinkToFit="1" vertical="center" wrapText="0"/>
    </xf>
    <xf borderId="1" fillId="0" fontId="14" numFmtId="0" xfId="0" applyAlignment="1" applyBorder="1" applyFont="1">
      <alignment horizontal="center" readingOrder="0" shrinkToFit="1" vertical="center" wrapText="0"/>
    </xf>
    <xf borderId="1" fillId="0" fontId="15" numFmtId="0" xfId="0" applyAlignment="1" applyBorder="1" applyFont="1">
      <alignment horizontal="center" readingOrder="0" shrinkToFit="1" vertical="center" wrapText="0"/>
    </xf>
    <xf borderId="1" fillId="0" fontId="14" numFmtId="0" xfId="0" applyAlignment="1" applyBorder="1" applyFont="1">
      <alignment horizontal="center" shrinkToFit="1" vertical="center" wrapText="0"/>
    </xf>
    <xf borderId="1" fillId="0" fontId="14" numFmtId="166" xfId="0" applyAlignment="1" applyBorder="1" applyFont="1" applyNumberFormat="1">
      <alignment horizontal="center" shrinkToFit="1" vertical="center" wrapText="0"/>
    </xf>
    <xf borderId="1" fillId="3" fontId="10" numFmtId="0" xfId="0" applyAlignment="1" applyBorder="1" applyFill="1" applyFont="1">
      <alignment horizontal="center" readingOrder="0" vertical="center"/>
    </xf>
    <xf borderId="1" fillId="3" fontId="16" numFmtId="0" xfId="0" applyAlignment="1" applyBorder="1" applyFont="1">
      <alignment horizontal="center" readingOrder="0" vertical="center"/>
    </xf>
    <xf quotePrefix="1" borderId="1" fillId="3" fontId="10" numFmtId="0" xfId="0" applyAlignment="1" applyBorder="1" applyFont="1">
      <alignment horizontal="center" readingOrder="0" vertical="center"/>
    </xf>
    <xf borderId="1" fillId="0" fontId="10" numFmtId="167" xfId="0" applyAlignment="1" applyBorder="1" applyFont="1" applyNumberFormat="1">
      <alignment horizontal="center" readingOrder="0" shrinkToFit="1" vertical="center" wrapText="0"/>
    </xf>
    <xf borderId="1" fillId="3" fontId="10" numFmtId="0" xfId="0" applyAlignment="1" applyBorder="1" applyFont="1">
      <alignment horizontal="center" vertical="center"/>
    </xf>
    <xf borderId="0" fillId="0" fontId="2" numFmtId="166" xfId="0" applyAlignment="1" applyFont="1" applyNumberFormat="1">
      <alignment horizontal="center" vertical="center"/>
    </xf>
    <xf borderId="1" fillId="3" fontId="14" numFmtId="0" xfId="0" applyAlignment="1" applyBorder="1" applyFont="1">
      <alignment horizontal="center" vertical="center"/>
    </xf>
    <xf borderId="1" fillId="3" fontId="14" numFmtId="0" xfId="0" applyAlignment="1" applyBorder="1" applyFont="1">
      <alignment horizontal="center" readingOrder="0" vertical="center"/>
    </xf>
    <xf borderId="1" fillId="3" fontId="14" numFmtId="168" xfId="0" applyAlignment="1" applyBorder="1" applyFont="1" applyNumberFormat="1">
      <alignment horizontal="center" vertical="center"/>
    </xf>
    <xf borderId="1" fillId="3" fontId="14" numFmtId="169" xfId="0" applyAlignment="1" applyBorder="1" applyFont="1" applyNumberFormat="1">
      <alignment horizontal="center" readingOrder="0" vertical="center"/>
    </xf>
    <xf borderId="0" fillId="0" fontId="17" numFmtId="0" xfId="0" applyAlignment="1" applyFont="1">
      <alignment horizontal="center" vertical="center"/>
    </xf>
    <xf borderId="0" fillId="0" fontId="5" numFmtId="0" xfId="0" applyAlignment="1" applyFont="1">
      <alignment horizontal="center" vertical="center"/>
    </xf>
    <xf borderId="2" fillId="2" fontId="6" numFmtId="0" xfId="0" applyAlignment="1" applyBorder="1" applyFont="1">
      <alignment horizontal="center" vertical="center"/>
    </xf>
    <xf borderId="0" fillId="0" fontId="17" numFmtId="0" xfId="0" applyAlignment="1" applyFont="1">
      <alignment vertical="center"/>
    </xf>
    <xf borderId="2" fillId="0" fontId="10" numFmtId="0" xfId="0" applyAlignment="1" applyBorder="1" applyFont="1">
      <alignment horizontal="left" readingOrder="0" vertical="center"/>
    </xf>
    <xf borderId="3" fillId="0" fontId="10" numFmtId="170" xfId="0" applyAlignment="1" applyBorder="1" applyFont="1" applyNumberFormat="1">
      <alignment horizontal="center" vertical="center"/>
    </xf>
    <xf borderId="4" fillId="0" fontId="10" numFmtId="170" xfId="0" applyAlignment="1" applyBorder="1" applyFont="1" applyNumberFormat="1">
      <alignment horizontal="center" vertical="center"/>
    </xf>
    <xf borderId="1" fillId="0" fontId="10" numFmtId="170" xfId="0" applyAlignment="1" applyBorder="1" applyFont="1" applyNumberFormat="1">
      <alignment horizontal="center" vertical="center"/>
    </xf>
    <xf borderId="1" fillId="0" fontId="14" numFmtId="0" xfId="0" applyAlignment="1" applyBorder="1" applyFont="1">
      <alignment horizontal="center" readingOrder="0" vertical="center"/>
    </xf>
    <xf borderId="2" fillId="0" fontId="10" numFmtId="170" xfId="0" applyAlignment="1" applyBorder="1" applyFont="1" applyNumberFormat="1">
      <alignment horizontal="left" vertical="center"/>
    </xf>
    <xf borderId="1" fillId="0" fontId="14" numFmtId="166" xfId="0" applyAlignment="1" applyBorder="1" applyFont="1" applyNumberFormat="1">
      <alignment horizontal="center" vertical="center"/>
    </xf>
    <xf borderId="8" fillId="0" fontId="6" numFmtId="0" xfId="0" applyAlignment="1" applyBorder="1" applyFont="1">
      <alignment horizontal="center" vertical="center"/>
    </xf>
    <xf borderId="8" fillId="0" fontId="7" numFmtId="0" xfId="0" applyAlignment="1" applyBorder="1" applyFont="1">
      <alignment vertical="center"/>
    </xf>
    <xf borderId="0" fillId="0" fontId="13" numFmtId="0" xfId="0" applyAlignment="1" applyFont="1">
      <alignment vertical="center"/>
    </xf>
    <xf borderId="1" fillId="0" fontId="10" numFmtId="0" xfId="0" applyAlignment="1" applyBorder="1" applyFont="1">
      <alignment horizontal="center" readingOrder="0" vertical="center"/>
    </xf>
    <xf borderId="1" fillId="0" fontId="10" numFmtId="0" xfId="0" applyAlignment="1" applyBorder="1" applyFont="1">
      <alignment horizontal="center" readingOrder="0" shrinkToFit="0" vertical="center" wrapText="1"/>
    </xf>
    <xf borderId="1" fillId="0" fontId="10" numFmtId="171" xfId="0" applyAlignment="1" applyBorder="1" applyFont="1" applyNumberFormat="1">
      <alignment horizontal="center" vertical="center"/>
    </xf>
    <xf borderId="1" fillId="0" fontId="10" numFmtId="171" xfId="0" applyAlignment="1" applyBorder="1" applyFont="1" applyNumberFormat="1">
      <alignment horizontal="center" readingOrder="0" vertical="center"/>
    </xf>
    <xf borderId="1" fillId="0" fontId="11" numFmtId="0" xfId="0" applyAlignment="1" applyBorder="1" applyFont="1">
      <alignment horizontal="center" vertical="center"/>
    </xf>
    <xf borderId="1" fillId="0" fontId="10" numFmtId="0" xfId="0" applyAlignment="1" applyBorder="1" applyFont="1">
      <alignment horizontal="center" shrinkToFit="0" vertical="center" wrapText="1"/>
    </xf>
    <xf borderId="1" fillId="0" fontId="18" numFmtId="0" xfId="0" applyAlignment="1" applyBorder="1" applyFont="1">
      <alignment horizontal="center" vertical="center"/>
    </xf>
    <xf borderId="1" fillId="0" fontId="10" numFmtId="0" xfId="0" applyAlignment="1" applyBorder="1" applyFont="1">
      <alignment horizontal="center" vertical="center"/>
    </xf>
    <xf borderId="1" fillId="0" fontId="10" numFmtId="0" xfId="0" applyAlignment="1" applyBorder="1" applyFont="1">
      <alignment horizontal="center" shrinkToFit="0" vertical="center" wrapText="1"/>
    </xf>
    <xf borderId="1" fillId="0" fontId="10" numFmtId="171" xfId="0" applyAlignment="1" applyBorder="1" applyFont="1" applyNumberFormat="1">
      <alignment horizontal="center" vertical="center"/>
    </xf>
    <xf borderId="0" fillId="0" fontId="9" numFmtId="166" xfId="0" applyAlignment="1" applyFont="1" applyNumberFormat="1">
      <alignment vertical="center"/>
    </xf>
    <xf borderId="1" fillId="0" fontId="16" numFmtId="0" xfId="0" applyAlignment="1" applyBorder="1" applyFont="1">
      <alignment horizontal="center" readingOrder="0" vertical="center"/>
    </xf>
    <xf borderId="1" fillId="0" fontId="6" numFmtId="0" xfId="0" applyAlignment="1" applyBorder="1" applyFont="1">
      <alignment horizontal="center" shrinkToFit="0" vertical="center" wrapText="1"/>
    </xf>
    <xf borderId="1" fillId="0" fontId="6" numFmtId="166" xfId="0" applyAlignment="1" applyBorder="1" applyFont="1" applyNumberFormat="1">
      <alignment vertical="center"/>
    </xf>
    <xf borderId="0" fillId="0" fontId="6" numFmtId="0" xfId="0" applyAlignment="1" applyFont="1">
      <alignment horizontal="left" readingOrder="0" vertical="center"/>
    </xf>
    <xf borderId="1" fillId="0" fontId="19" numFmtId="0" xfId="0" applyAlignment="1" applyBorder="1" applyFont="1">
      <alignment horizontal="center" readingOrder="0" vertical="center"/>
    </xf>
    <xf borderId="1" fillId="0" fontId="16" numFmtId="0" xfId="0" applyAlignment="1" applyBorder="1" applyFont="1">
      <alignment horizontal="left" readingOrder="0" vertical="center"/>
    </xf>
    <xf borderId="0" fillId="0" fontId="20" numFmtId="166" xfId="0" applyAlignment="1" applyFont="1" applyNumberFormat="1">
      <alignment horizontal="center" vertical="center"/>
    </xf>
    <xf borderId="1" fillId="0" fontId="21" numFmtId="0" xfId="0" applyAlignment="1" applyBorder="1" applyFont="1">
      <alignment horizontal="center" readingOrder="0" vertical="center"/>
    </xf>
    <xf borderId="1" fillId="0" fontId="16" numFmtId="0" xfId="0" applyAlignment="1" applyBorder="1" applyFont="1">
      <alignment horizontal="left" readingOrder="0" shrinkToFit="0" vertical="center" wrapText="1"/>
    </xf>
    <xf borderId="1" fillId="0" fontId="16" numFmtId="0" xfId="0" applyAlignment="1" applyBorder="1" applyFont="1">
      <alignment horizontal="center" vertical="center"/>
    </xf>
    <xf borderId="1" fillId="0" fontId="21" numFmtId="0" xfId="0" applyAlignment="1" applyBorder="1" applyFont="1">
      <alignment horizontal="center" vertical="center"/>
    </xf>
    <xf borderId="1" fillId="0" fontId="16" numFmtId="0" xfId="0" applyAlignment="1" applyBorder="1" applyFont="1">
      <alignment horizontal="left" vertical="center"/>
    </xf>
    <xf borderId="1" fillId="0" fontId="15" numFmtId="0" xfId="0" applyAlignment="1" applyBorder="1" applyFont="1">
      <alignment horizontal="center" vertical="center"/>
    </xf>
    <xf borderId="0" fillId="0" fontId="15" numFmtId="0" xfId="0" applyAlignment="1" applyFont="1">
      <alignment horizontal="center" vertical="center"/>
    </xf>
    <xf borderId="0" fillId="0" fontId="16" numFmtId="0" xfId="0" applyAlignment="1" applyFont="1">
      <alignment horizontal="center" vertical="center"/>
    </xf>
    <xf borderId="0" fillId="0" fontId="16" numFmtId="0" xfId="0" applyAlignment="1" applyFont="1">
      <alignment horizontal="left" vertical="center"/>
    </xf>
    <xf borderId="0" fillId="0" fontId="10" numFmtId="171" xfId="0" applyAlignment="1" applyFont="1" applyNumberFormat="1">
      <alignment horizontal="center" vertical="center"/>
    </xf>
    <xf borderId="0" fillId="0" fontId="6" numFmtId="166" xfId="0" applyAlignment="1" applyFont="1" applyNumberFormat="1">
      <alignment vertical="center"/>
    </xf>
    <xf borderId="0" fillId="0" fontId="13" numFmtId="166" xfId="0" applyAlignment="1" applyFont="1" applyNumberFormat="1">
      <alignment vertical="center"/>
    </xf>
    <xf borderId="2" fillId="0" fontId="14" numFmtId="0" xfId="0" applyAlignment="1" applyBorder="1" applyFont="1">
      <alignment horizontal="center" readingOrder="0" vertical="center"/>
    </xf>
    <xf borderId="0" fillId="0" fontId="2" numFmtId="0" xfId="0" applyAlignment="1" applyFont="1">
      <alignment horizontal="center" shrinkToFit="1" vertical="center" wrapText="0"/>
    </xf>
    <xf borderId="2" fillId="0" fontId="14" numFmtId="0" xfId="0" applyAlignment="1" applyBorder="1" applyFont="1">
      <alignment horizontal="center" vertical="center"/>
    </xf>
    <xf borderId="1" fillId="0" fontId="14" numFmtId="0" xfId="0" applyAlignment="1" applyBorder="1" applyFont="1">
      <alignment horizontal="center" vertical="center"/>
    </xf>
    <xf borderId="1" fillId="0" fontId="14" numFmtId="0" xfId="0" applyAlignment="1" applyBorder="1" applyFont="1">
      <alignment horizontal="left" shrinkToFit="0" vertical="center" wrapText="1"/>
    </xf>
    <xf borderId="1" fillId="0" fontId="14" numFmtId="0" xfId="0" applyAlignment="1" applyBorder="1" applyFont="1">
      <alignment horizontal="left" readingOrder="0" shrinkToFit="0" vertical="center" wrapText="1"/>
    </xf>
    <xf borderId="1" fillId="0" fontId="14" numFmtId="166" xfId="0" applyAlignment="1" applyBorder="1" applyFont="1" applyNumberFormat="1">
      <alignment horizontal="center" readingOrder="0" vertical="center"/>
    </xf>
    <xf borderId="1" fillId="0" fontId="22" numFmtId="0" xfId="0" applyAlignment="1" applyBorder="1" applyFont="1">
      <alignment horizontal="left" shrinkToFit="0" vertical="center" wrapText="1"/>
    </xf>
    <xf borderId="2" fillId="0" fontId="22" numFmtId="0" xfId="0" applyAlignment="1" applyBorder="1" applyFont="1">
      <alignment horizontal="center" vertical="center"/>
    </xf>
    <xf borderId="1" fillId="0" fontId="22" numFmtId="166" xfId="0" applyAlignment="1" applyBorder="1" applyFont="1" applyNumberFormat="1">
      <alignment horizontal="center" vertical="center"/>
    </xf>
    <xf borderId="1" fillId="0" fontId="14" numFmtId="0" xfId="0" applyAlignment="1" applyBorder="1" applyFont="1">
      <alignment vertical="center"/>
    </xf>
    <xf borderId="1" fillId="0" fontId="14" numFmtId="166" xfId="0" applyAlignment="1" applyBorder="1" applyFont="1" applyNumberFormat="1">
      <alignment vertical="center"/>
    </xf>
    <xf borderId="0" fillId="0" fontId="2" numFmtId="166" xfId="0" applyAlignment="1" applyFont="1" applyNumberFormat="1">
      <alignment vertical="center"/>
    </xf>
    <xf borderId="0" fillId="0" fontId="14" numFmtId="0" xfId="0" applyAlignment="1" applyFont="1">
      <alignment vertical="center"/>
    </xf>
    <xf borderId="1" fillId="0" fontId="23" numFmtId="0" xfId="0" applyAlignment="1" applyBorder="1" applyFont="1">
      <alignment horizontal="center" readingOrder="0" vertical="center"/>
    </xf>
    <xf borderId="1" fillId="0" fontId="24" numFmtId="0" xfId="0" applyAlignment="1" applyBorder="1" applyFont="1">
      <alignment horizontal="left" readingOrder="0" shrinkToFit="0" vertical="center" wrapText="1"/>
    </xf>
    <xf borderId="1" fillId="0" fontId="22" numFmtId="0" xfId="0" applyAlignment="1" applyBorder="1" applyFont="1">
      <alignment horizontal="center" readingOrder="0" vertical="center"/>
    </xf>
    <xf borderId="0" fillId="0" fontId="20" numFmtId="0" xfId="0" applyAlignment="1" applyFont="1">
      <alignment horizontal="center" vertical="center"/>
    </xf>
    <xf borderId="1" fillId="0" fontId="6" numFmtId="0" xfId="0" applyAlignment="1" applyBorder="1" applyFont="1">
      <alignment vertical="center"/>
    </xf>
    <xf borderId="1" fillId="2" fontId="6" numFmtId="0" xfId="0" applyAlignment="1" applyBorder="1" applyFont="1">
      <alignment horizontal="center" shrinkToFit="0" vertical="center" wrapText="1"/>
    </xf>
    <xf borderId="2" fillId="0" fontId="14" numFmtId="0" xfId="0" applyAlignment="1" applyBorder="1" applyFont="1">
      <alignment horizontal="center" shrinkToFit="0" vertical="center" wrapText="1"/>
    </xf>
    <xf borderId="9" fillId="0" fontId="9" numFmtId="0" xfId="0" applyAlignment="1" applyBorder="1" applyFont="1">
      <alignment horizontal="center" vertical="center"/>
    </xf>
    <xf borderId="9" fillId="0" fontId="7" numFmtId="0" xfId="0" applyAlignment="1" applyBorder="1" applyFont="1">
      <alignment vertical="center"/>
    </xf>
    <xf borderId="1" fillId="2" fontId="13" numFmtId="0" xfId="0" applyAlignment="1" applyBorder="1" applyFont="1">
      <alignment horizontal="center" vertical="center"/>
    </xf>
    <xf borderId="1" fillId="2" fontId="13" numFmtId="0" xfId="0" applyAlignment="1" applyBorder="1" applyFont="1">
      <alignment horizontal="center" shrinkToFit="0" vertical="center" wrapText="1"/>
    </xf>
    <xf borderId="1" fillId="4" fontId="25" numFmtId="0" xfId="0" applyAlignment="1" applyBorder="1" applyFill="1" applyFont="1">
      <alignment horizontal="center" vertical="center"/>
    </xf>
    <xf borderId="1" fillId="2" fontId="13" numFmtId="0" xfId="0" applyAlignment="1" applyBorder="1" applyFont="1">
      <alignment horizontal="center" shrinkToFit="1" vertical="center" wrapText="0"/>
    </xf>
    <xf borderId="1" fillId="0" fontId="13" numFmtId="0" xfId="0" applyAlignment="1" applyBorder="1" applyFont="1">
      <alignment horizontal="center" vertical="center"/>
    </xf>
    <xf borderId="1" fillId="0" fontId="13" numFmtId="0" xfId="0" applyAlignment="1" applyBorder="1" applyFont="1">
      <alignment horizontal="center" shrinkToFit="1" vertical="center" wrapText="0"/>
    </xf>
    <xf borderId="1" fillId="0" fontId="13" numFmtId="165" xfId="0" applyAlignment="1" applyBorder="1" applyFont="1" applyNumberFormat="1">
      <alignment horizontal="center" shrinkToFit="1" vertical="center" wrapText="0"/>
    </xf>
    <xf borderId="1" fillId="0" fontId="13" numFmtId="172" xfId="0" applyAlignment="1" applyBorder="1" applyFont="1" applyNumberFormat="1">
      <alignment horizontal="center" vertical="center"/>
    </xf>
    <xf borderId="0" fillId="0" fontId="26" numFmtId="0" xfId="0" applyAlignment="1" applyFont="1">
      <alignment horizontal="left" vertical="center"/>
    </xf>
    <xf borderId="0" fillId="0" fontId="27" numFmtId="0" xfId="0" applyAlignment="1" applyFont="1">
      <alignment horizontal="center" vertical="center"/>
    </xf>
    <xf borderId="9" fillId="0" fontId="27" numFmtId="0" xfId="0" applyAlignment="1" applyBorder="1" applyFont="1">
      <alignment horizontal="center" vertical="center"/>
    </xf>
    <xf borderId="10" fillId="5" fontId="28" numFmtId="0" xfId="0" applyAlignment="1" applyBorder="1" applyFill="1" applyFont="1">
      <alignment horizontal="center" shrinkToFit="0" vertical="center" wrapText="1"/>
    </xf>
    <xf borderId="11" fillId="0" fontId="29" numFmtId="0" xfId="0" applyAlignment="1" applyBorder="1" applyFont="1">
      <alignment horizontal="center" shrinkToFit="0" vertical="center" wrapText="1"/>
    </xf>
    <xf borderId="11" fillId="0" fontId="29" numFmtId="0" xfId="0" applyAlignment="1" applyBorder="1" applyFont="1">
      <alignment horizontal="left" shrinkToFit="0" vertical="center" wrapText="1"/>
    </xf>
    <xf borderId="12" fillId="0" fontId="7" numFmtId="0" xfId="0" applyAlignment="1" applyBorder="1" applyFont="1">
      <alignment vertical="center"/>
    </xf>
    <xf borderId="12" fillId="0" fontId="29" numFmtId="0" xfId="0" applyAlignment="1" applyBorder="1" applyFont="1">
      <alignment horizontal="left" shrinkToFit="0" vertical="center" wrapText="1"/>
    </xf>
    <xf borderId="5" fillId="0" fontId="29" numFmtId="0" xfId="0" applyAlignment="1" applyBorder="1" applyFont="1">
      <alignment horizontal="center" shrinkToFit="0" vertical="center" wrapText="1"/>
    </xf>
    <xf borderId="5" fillId="0" fontId="29" numFmtId="0" xfId="0" applyAlignment="1" applyBorder="1" applyFont="1">
      <alignment horizontal="left" shrinkToFit="0" vertical="center" wrapText="1"/>
    </xf>
    <xf borderId="13" fillId="0" fontId="7" numFmtId="0" xfId="0" applyAlignment="1" applyBorder="1" applyFont="1">
      <alignment vertical="center"/>
    </xf>
    <xf borderId="1" fillId="0" fontId="29" numFmtId="0" xfId="0" applyAlignment="1" applyBorder="1" applyFont="1">
      <alignment horizontal="left" shrinkToFit="0" vertical="center" wrapText="1"/>
    </xf>
    <xf borderId="1" fillId="0" fontId="29" numFmtId="0" xfId="0" applyAlignment="1" applyBorder="1" applyFont="1">
      <alignment horizontal="center" shrinkToFit="0" vertical="center" wrapText="1"/>
    </xf>
    <xf borderId="14" fillId="0" fontId="28" numFmtId="0" xfId="0" applyAlignment="1" applyBorder="1" applyFont="1">
      <alignment horizontal="center" shrinkToFit="0" vertical="center" wrapText="1"/>
    </xf>
    <xf borderId="15" fillId="0" fontId="7" numFmtId="0" xfId="0" applyAlignment="1" applyBorder="1" applyFont="1">
      <alignment vertical="center"/>
    </xf>
    <xf borderId="10" fillId="0" fontId="28" numFmtId="0" xfId="0" applyAlignment="1" applyBorder="1" applyFont="1">
      <alignment horizontal="center" shrinkToFit="0" vertical="center" wrapText="1"/>
    </xf>
    <xf borderId="0" fillId="0" fontId="30" numFmtId="0" xfId="0" applyAlignment="1" applyFont="1">
      <alignment horizontal="center" shrinkToFit="0" vertical="center" wrapText="1"/>
    </xf>
    <xf borderId="0" fillId="0" fontId="31" numFmtId="0" xfId="0" applyAlignment="1" applyFont="1">
      <alignment horizontal="left" shrinkToFit="0" vertical="center" wrapText="1"/>
    </xf>
    <xf borderId="16" fillId="6" fontId="32" numFmtId="0" xfId="0" applyAlignment="1" applyBorder="1" applyFill="1" applyFont="1">
      <alignment horizontal="center" shrinkToFit="0" vertical="center" wrapText="1"/>
    </xf>
    <xf borderId="17" fillId="6" fontId="32" numFmtId="0" xfId="0" applyAlignment="1" applyBorder="1" applyFont="1">
      <alignment horizontal="center" shrinkToFit="0" vertical="center" wrapText="1"/>
    </xf>
    <xf borderId="18" fillId="0" fontId="32" numFmtId="0" xfId="0" applyAlignment="1" applyBorder="1" applyFont="1">
      <alignment horizontal="center" shrinkToFit="0" vertical="center" wrapText="1"/>
    </xf>
    <xf borderId="19" fillId="0" fontId="33" numFmtId="0" xfId="0" applyAlignment="1" applyBorder="1" applyFont="1">
      <alignment horizontal="left" shrinkToFit="0" vertical="center" wrapText="1"/>
    </xf>
    <xf borderId="20" fillId="0" fontId="7" numFmtId="0" xfId="0" applyAlignment="1" applyBorder="1" applyFont="1">
      <alignment vertical="center"/>
    </xf>
    <xf borderId="21" fillId="0" fontId="33" numFmtId="0" xfId="0" applyAlignment="1" applyBorder="1" applyFont="1">
      <alignment horizontal="left" shrinkToFit="0" vertical="center" wrapText="1"/>
    </xf>
    <xf borderId="22" fillId="0" fontId="7" numFmtId="0" xfId="0" applyAlignment="1" applyBorder="1" applyFont="1">
      <alignment vertical="center"/>
    </xf>
    <xf borderId="23" fillId="0" fontId="33" numFmtId="0" xfId="0" applyAlignment="1" applyBorder="1" applyFont="1">
      <alignment horizontal="left" shrinkToFit="0" vertical="center" wrapText="1"/>
    </xf>
    <xf borderId="24" fillId="0" fontId="32" numFmtId="0" xfId="0" applyAlignment="1" applyBorder="1" applyFont="1">
      <alignment horizontal="center" shrinkToFit="0" vertical="center" wrapText="1"/>
    </xf>
    <xf borderId="25" fillId="0" fontId="33" numFmtId="0" xfId="0" applyAlignment="1" applyBorder="1" applyFont="1">
      <alignment horizontal="left" shrinkToFit="0" vertical="center" wrapText="1"/>
    </xf>
    <xf borderId="26" fillId="0" fontId="32" numFmtId="0" xfId="0" applyAlignment="1" applyBorder="1" applyFont="1">
      <alignment horizontal="center" shrinkToFit="0" vertical="center" wrapText="1"/>
    </xf>
    <xf borderId="27" fillId="0" fontId="33" numFmtId="0" xfId="0" applyAlignment="1" applyBorder="1" applyFont="1">
      <alignment horizontal="left" shrinkToFit="0" vertical="center" wrapText="1"/>
    </xf>
    <xf borderId="28" fillId="0" fontId="32" numFmtId="0" xfId="0" applyAlignment="1" applyBorder="1" applyFont="1">
      <alignment horizontal="center" shrinkToFit="0" vertical="center" wrapText="1"/>
    </xf>
    <xf borderId="29" fillId="0" fontId="33" numFmtId="0" xfId="0" applyAlignment="1" applyBorder="1" applyFont="1">
      <alignment horizontal="left" shrinkToFit="0" vertical="center" wrapText="1"/>
    </xf>
    <xf borderId="0" fillId="0" fontId="34" numFmtId="0" xfId="0" applyAlignment="1" applyFont="1">
      <alignment horizontal="left" shrinkToFit="0" vertical="center" wrapText="1"/>
    </xf>
    <xf borderId="0" fillId="0" fontId="35" numFmtId="0" xfId="0" applyAlignment="1" applyFont="1">
      <alignment horizontal="left" shrinkToFit="0" vertical="center" wrapText="1"/>
    </xf>
    <xf borderId="0" fillId="0" fontId="35" numFmtId="0" xfId="0" applyAlignment="1" applyFont="1">
      <alignment horizontal="left" vertical="center"/>
    </xf>
    <xf borderId="1" fillId="2" fontId="1" numFmtId="0" xfId="0" applyAlignment="1" applyBorder="1" applyFont="1">
      <alignment vertical="center"/>
    </xf>
    <xf borderId="1" fillId="0" fontId="1"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pageSetUpPr/>
  </sheetPr>
  <sheetViews>
    <sheetView workbookViewId="0"/>
  </sheetViews>
  <sheetFormatPr customHeight="1" defaultColWidth="14.43" defaultRowHeight="15.0"/>
  <cols>
    <col customWidth="1" min="1" max="1" width="8.71"/>
    <col customWidth="1" min="2" max="2" width="21.71"/>
    <col customWidth="1" min="3" max="3" width="29.43"/>
    <col customWidth="1" min="4" max="4" width="45.29"/>
    <col customWidth="1" min="5" max="5" width="29.43"/>
    <col customWidth="1" min="6" max="6" width="27.43"/>
    <col customWidth="1" min="7" max="7" width="9.57"/>
    <col customWidth="1" hidden="1" min="8" max="8" width="12.57"/>
    <col customWidth="1" hidden="1" min="9" max="10" width="14.29"/>
    <col customWidth="1" min="11" max="11" width="9.0"/>
    <col customWidth="1" min="12" max="26" width="8.71"/>
  </cols>
  <sheetData>
    <row r="1">
      <c r="A1" s="1"/>
      <c r="B1" s="1"/>
      <c r="C1" s="1"/>
      <c r="D1" s="1"/>
      <c r="E1" s="1"/>
      <c r="F1" s="2"/>
      <c r="G1" s="2"/>
      <c r="H1" s="1"/>
      <c r="I1" s="1"/>
      <c r="J1" s="1"/>
      <c r="K1" s="1"/>
    </row>
    <row r="2" ht="48.75" customHeight="1">
      <c r="A2" s="1"/>
      <c r="B2" s="3" t="s">
        <v>0</v>
      </c>
      <c r="G2" s="4"/>
      <c r="H2" s="1"/>
      <c r="I2" s="1"/>
      <c r="J2" s="1"/>
      <c r="K2" s="1"/>
    </row>
    <row r="3" ht="26.25" customHeight="1">
      <c r="A3" s="1"/>
      <c r="B3" s="2"/>
      <c r="C3" s="2"/>
      <c r="D3" s="2"/>
      <c r="E3" s="2"/>
      <c r="F3" s="2"/>
      <c r="G3" s="2"/>
      <c r="H3" s="1"/>
      <c r="I3" s="1"/>
      <c r="J3" s="1"/>
      <c r="K3" s="1"/>
    </row>
    <row r="4" ht="60.0" customHeight="1">
      <c r="A4" s="5"/>
      <c r="B4" s="6" t="s">
        <v>1</v>
      </c>
      <c r="C4" s="7"/>
      <c r="D4" s="8"/>
      <c r="E4" s="8"/>
      <c r="F4" s="9"/>
      <c r="G4" s="10"/>
      <c r="H4" s="5"/>
      <c r="I4" s="5"/>
      <c r="J4" s="5"/>
      <c r="K4" s="5"/>
      <c r="L4" s="5"/>
      <c r="M4" s="5"/>
      <c r="N4" s="5"/>
      <c r="O4" s="5"/>
      <c r="P4" s="5"/>
      <c r="Q4" s="5"/>
      <c r="R4" s="5"/>
      <c r="S4" s="5"/>
      <c r="T4" s="5"/>
      <c r="U4" s="5"/>
      <c r="V4" s="5"/>
      <c r="W4" s="5"/>
      <c r="X4" s="5"/>
      <c r="Y4" s="5"/>
      <c r="Z4" s="5"/>
    </row>
    <row r="5" ht="60.0" customHeight="1">
      <c r="A5" s="5"/>
      <c r="B5" s="6" t="s">
        <v>2</v>
      </c>
      <c r="C5" s="11"/>
      <c r="D5" s="8"/>
      <c r="E5" s="8"/>
      <c r="F5" s="9"/>
      <c r="G5" s="10"/>
      <c r="H5" s="5"/>
      <c r="I5" s="5"/>
      <c r="J5" s="5"/>
      <c r="K5" s="5"/>
      <c r="L5" s="5"/>
      <c r="M5" s="5"/>
      <c r="N5" s="5"/>
      <c r="O5" s="5"/>
      <c r="P5" s="5"/>
      <c r="Q5" s="5"/>
      <c r="R5" s="5"/>
      <c r="S5" s="5"/>
      <c r="T5" s="5"/>
      <c r="U5" s="5"/>
      <c r="V5" s="5"/>
      <c r="W5" s="5"/>
      <c r="X5" s="5"/>
      <c r="Y5" s="5"/>
      <c r="Z5" s="5"/>
    </row>
    <row r="6" ht="27.75" customHeight="1">
      <c r="A6" s="5"/>
      <c r="B6" s="12"/>
      <c r="C6" s="12"/>
      <c r="D6" s="12"/>
      <c r="E6" s="12"/>
      <c r="F6" s="13"/>
      <c r="G6" s="13"/>
      <c r="H6" s="5"/>
      <c r="I6" s="5"/>
      <c r="J6" s="5"/>
      <c r="K6" s="5"/>
      <c r="L6" s="5"/>
      <c r="M6" s="5"/>
      <c r="N6" s="5"/>
      <c r="O6" s="5"/>
      <c r="P6" s="5"/>
      <c r="Q6" s="5"/>
      <c r="R6" s="5"/>
      <c r="S6" s="5"/>
      <c r="T6" s="5"/>
      <c r="U6" s="5"/>
      <c r="V6" s="5"/>
      <c r="W6" s="5"/>
      <c r="X6" s="5"/>
      <c r="Y6" s="5"/>
      <c r="Z6" s="5"/>
    </row>
    <row r="7" ht="27.75" customHeight="1">
      <c r="A7" s="5"/>
      <c r="B7" s="14" t="s">
        <v>3</v>
      </c>
      <c r="C7" s="15"/>
      <c r="D7" s="15"/>
      <c r="E7" s="15"/>
      <c r="F7" s="16"/>
      <c r="G7" s="13"/>
      <c r="H7" s="17"/>
      <c r="I7" s="17"/>
      <c r="J7" s="17"/>
      <c r="K7" s="5"/>
      <c r="L7" s="5"/>
      <c r="M7" s="5"/>
      <c r="N7" s="5"/>
      <c r="O7" s="5"/>
      <c r="P7" s="5"/>
      <c r="Q7" s="5"/>
      <c r="R7" s="5"/>
      <c r="S7" s="5"/>
      <c r="T7" s="5"/>
      <c r="U7" s="5"/>
      <c r="V7" s="5"/>
      <c r="W7" s="5"/>
      <c r="X7" s="5"/>
      <c r="Y7" s="5"/>
      <c r="Z7" s="5"/>
    </row>
    <row r="8" ht="27.75" customHeight="1">
      <c r="A8" s="5"/>
      <c r="B8" s="6" t="s">
        <v>4</v>
      </c>
      <c r="C8" s="18" t="s">
        <v>5</v>
      </c>
      <c r="D8" s="19" t="s">
        <v>6</v>
      </c>
      <c r="E8" s="6" t="s">
        <v>7</v>
      </c>
      <c r="F8" s="20" t="s">
        <v>8</v>
      </c>
      <c r="G8" s="21"/>
      <c r="H8" s="5"/>
      <c r="I8" s="5"/>
      <c r="J8" s="5"/>
      <c r="K8" s="5"/>
      <c r="L8" s="5"/>
      <c r="M8" s="5"/>
      <c r="N8" s="5"/>
      <c r="O8" s="5"/>
      <c r="P8" s="5"/>
      <c r="Q8" s="5"/>
      <c r="R8" s="5"/>
      <c r="S8" s="5"/>
      <c r="T8" s="5"/>
      <c r="U8" s="5"/>
      <c r="V8" s="5"/>
      <c r="W8" s="5"/>
      <c r="X8" s="5"/>
      <c r="Y8" s="5"/>
      <c r="Z8" s="5"/>
    </row>
    <row r="9" ht="27.75" customHeight="1">
      <c r="A9" s="5"/>
      <c r="B9" s="22" t="s">
        <v>9</v>
      </c>
      <c r="C9" s="23" t="s">
        <v>10</v>
      </c>
      <c r="D9" s="9"/>
      <c r="E9" s="24" t="s">
        <v>11</v>
      </c>
      <c r="F9" s="25" t="s">
        <v>12</v>
      </c>
      <c r="G9" s="26"/>
      <c r="H9" s="5"/>
      <c r="I9" s="5"/>
      <c r="J9" s="5"/>
      <c r="K9" s="5"/>
      <c r="L9" s="5"/>
      <c r="M9" s="5"/>
      <c r="N9" s="5"/>
      <c r="O9" s="5"/>
      <c r="P9" s="5"/>
      <c r="Q9" s="5"/>
      <c r="R9" s="5"/>
      <c r="S9" s="5"/>
      <c r="T9" s="5"/>
      <c r="U9" s="5"/>
      <c r="V9" s="5"/>
      <c r="W9" s="5"/>
      <c r="X9" s="5"/>
      <c r="Y9" s="5"/>
      <c r="Z9" s="5"/>
    </row>
    <row r="10" ht="27.75" customHeight="1">
      <c r="A10" s="5"/>
      <c r="B10" s="6" t="s">
        <v>13</v>
      </c>
      <c r="C10" s="27" t="s">
        <v>14</v>
      </c>
      <c r="D10" s="8"/>
      <c r="E10" s="8"/>
      <c r="F10" s="9"/>
      <c r="G10" s="10"/>
      <c r="H10" s="5"/>
      <c r="I10" s="5"/>
      <c r="J10" s="5"/>
      <c r="K10" s="5"/>
      <c r="L10" s="5"/>
      <c r="M10" s="5"/>
      <c r="N10" s="5"/>
      <c r="O10" s="5"/>
      <c r="P10" s="5"/>
      <c r="Q10" s="5"/>
      <c r="R10" s="5"/>
      <c r="S10" s="5"/>
      <c r="T10" s="5"/>
      <c r="U10" s="5"/>
      <c r="V10" s="5"/>
      <c r="W10" s="5"/>
      <c r="X10" s="5"/>
      <c r="Y10" s="5"/>
      <c r="Z10" s="5"/>
    </row>
    <row r="11" ht="27.75" customHeight="1">
      <c r="A11" s="5"/>
      <c r="B11" s="15"/>
      <c r="C11" s="15"/>
      <c r="D11" s="15"/>
      <c r="E11" s="15"/>
      <c r="F11" s="16"/>
      <c r="G11" s="13"/>
      <c r="H11" s="5"/>
      <c r="I11" s="5"/>
      <c r="J11" s="5"/>
      <c r="K11" s="5"/>
      <c r="L11" s="5"/>
      <c r="M11" s="5"/>
      <c r="N11" s="5"/>
      <c r="O11" s="5"/>
      <c r="P11" s="5"/>
      <c r="Q11" s="5"/>
      <c r="R11" s="5"/>
      <c r="S11" s="5"/>
      <c r="T11" s="5"/>
      <c r="U11" s="5"/>
      <c r="V11" s="5"/>
      <c r="W11" s="5"/>
      <c r="X11" s="5"/>
      <c r="Y11" s="5"/>
      <c r="Z11" s="5"/>
    </row>
    <row r="12" ht="27.75" customHeight="1">
      <c r="A12" s="5"/>
      <c r="B12" s="14" t="s">
        <v>15</v>
      </c>
      <c r="C12" s="15"/>
      <c r="D12" s="15"/>
      <c r="E12" s="6" t="s">
        <v>16</v>
      </c>
      <c r="F12" s="28" t="str">
        <f>CONCATENATE(H18,"년")</f>
        <v>2년</v>
      </c>
      <c r="G12" s="12"/>
      <c r="H12" s="5"/>
      <c r="I12" s="5"/>
      <c r="J12" s="5"/>
      <c r="K12" s="5"/>
      <c r="L12" s="5"/>
      <c r="M12" s="5"/>
      <c r="N12" s="5"/>
      <c r="O12" s="5"/>
      <c r="P12" s="5"/>
      <c r="Q12" s="5"/>
      <c r="R12" s="5"/>
      <c r="S12" s="5"/>
      <c r="T12" s="5"/>
      <c r="U12" s="5"/>
      <c r="V12" s="5"/>
      <c r="W12" s="5"/>
      <c r="X12" s="5"/>
      <c r="Y12" s="5"/>
      <c r="Z12" s="5"/>
    </row>
    <row r="13" ht="27.75" customHeight="1">
      <c r="A13" s="5"/>
      <c r="B13" s="6" t="s">
        <v>17</v>
      </c>
      <c r="C13" s="6" t="s">
        <v>18</v>
      </c>
      <c r="D13" s="6" t="s">
        <v>19</v>
      </c>
      <c r="E13" s="6" t="s">
        <v>20</v>
      </c>
      <c r="F13" s="6" t="s">
        <v>21</v>
      </c>
      <c r="G13" s="13"/>
      <c r="H13" s="29" t="s">
        <v>22</v>
      </c>
      <c r="I13" s="17"/>
      <c r="J13" s="5"/>
      <c r="K13" s="5"/>
      <c r="L13" s="5"/>
      <c r="M13" s="5"/>
      <c r="N13" s="5"/>
      <c r="O13" s="5"/>
      <c r="P13" s="5"/>
      <c r="Q13" s="5"/>
      <c r="R13" s="5"/>
      <c r="S13" s="5"/>
      <c r="T13" s="5"/>
      <c r="U13" s="5"/>
      <c r="V13" s="5"/>
      <c r="W13" s="5"/>
      <c r="X13" s="5"/>
      <c r="Y13" s="5"/>
      <c r="Z13" s="5"/>
    </row>
    <row r="14" ht="27.75" customHeight="1">
      <c r="A14" s="5"/>
      <c r="B14" s="6" t="s">
        <v>23</v>
      </c>
      <c r="C14" s="30" t="s">
        <v>24</v>
      </c>
      <c r="D14" s="30" t="s">
        <v>25</v>
      </c>
      <c r="E14" s="30" t="s">
        <v>26</v>
      </c>
      <c r="F14" s="31" t="s">
        <v>27</v>
      </c>
      <c r="G14" s="13"/>
      <c r="H14" s="29"/>
      <c r="I14" s="17"/>
      <c r="J14" s="5"/>
      <c r="K14" s="5"/>
      <c r="L14" s="5"/>
      <c r="M14" s="5"/>
      <c r="N14" s="5"/>
      <c r="O14" s="5"/>
      <c r="P14" s="5"/>
      <c r="Q14" s="5"/>
      <c r="R14" s="5"/>
      <c r="S14" s="5"/>
      <c r="T14" s="5"/>
      <c r="U14" s="5"/>
      <c r="V14" s="5"/>
      <c r="W14" s="5"/>
      <c r="X14" s="5"/>
      <c r="Y14" s="5"/>
      <c r="Z14" s="5"/>
    </row>
    <row r="15" ht="27.75" customHeight="1">
      <c r="A15" s="5"/>
      <c r="B15" s="6" t="s">
        <v>28</v>
      </c>
      <c r="C15" s="32" t="s">
        <v>29</v>
      </c>
      <c r="D15" s="30" t="s">
        <v>30</v>
      </c>
      <c r="E15" s="30" t="s">
        <v>31</v>
      </c>
      <c r="F15" s="31" t="s">
        <v>27</v>
      </c>
      <c r="G15" s="13"/>
      <c r="H15" s="29">
        <f>IF(F15="학위취득",2,0)</f>
        <v>2</v>
      </c>
      <c r="I15" s="17"/>
      <c r="J15" s="5"/>
      <c r="K15" s="5"/>
      <c r="L15" s="5"/>
      <c r="M15" s="5"/>
      <c r="N15" s="5"/>
      <c r="O15" s="5"/>
      <c r="P15" s="5"/>
      <c r="Q15" s="5"/>
      <c r="R15" s="5"/>
      <c r="S15" s="5"/>
      <c r="T15" s="5"/>
      <c r="U15" s="5"/>
      <c r="V15" s="5"/>
      <c r="W15" s="5"/>
      <c r="X15" s="5"/>
      <c r="Y15" s="5"/>
      <c r="Z15" s="5"/>
    </row>
    <row r="16" ht="27.75" customHeight="1">
      <c r="A16" s="5"/>
      <c r="B16" s="6" t="s">
        <v>32</v>
      </c>
      <c r="C16" s="33"/>
      <c r="D16" s="33"/>
      <c r="E16" s="34"/>
      <c r="F16" s="33"/>
      <c r="G16" s="13"/>
      <c r="H16" s="29">
        <f>IF(AND(F15="학위취득",F16="학위취득"), 3, IF(F16="학위취득", 5, 0))</f>
        <v>0</v>
      </c>
      <c r="I16" s="17"/>
      <c r="J16" s="5"/>
      <c r="K16" s="5"/>
      <c r="L16" s="5"/>
      <c r="M16" s="5"/>
      <c r="N16" s="5"/>
      <c r="O16" s="5"/>
      <c r="P16" s="5"/>
      <c r="Q16" s="5"/>
      <c r="R16" s="5"/>
      <c r="S16" s="5"/>
      <c r="T16" s="5"/>
      <c r="U16" s="5"/>
      <c r="V16" s="5"/>
      <c r="W16" s="5"/>
      <c r="X16" s="5"/>
      <c r="Y16" s="5"/>
      <c r="Z16" s="5"/>
    </row>
    <row r="17" ht="27.75" customHeight="1">
      <c r="A17" s="5"/>
      <c r="B17" s="6" t="s">
        <v>33</v>
      </c>
      <c r="C17" s="33"/>
      <c r="D17" s="33"/>
      <c r="E17" s="34"/>
      <c r="F17" s="33"/>
      <c r="G17" s="13"/>
      <c r="H17" s="29"/>
      <c r="I17" s="17"/>
      <c r="J17" s="5"/>
      <c r="K17" s="5"/>
      <c r="L17" s="5"/>
      <c r="M17" s="5"/>
      <c r="N17" s="5"/>
      <c r="O17" s="5"/>
      <c r="P17" s="5"/>
      <c r="Q17" s="5"/>
      <c r="R17" s="5"/>
      <c r="S17" s="5"/>
      <c r="T17" s="5"/>
      <c r="U17" s="5"/>
      <c r="V17" s="5"/>
      <c r="W17" s="5"/>
      <c r="X17" s="5"/>
      <c r="Y17" s="5"/>
      <c r="Z17" s="5"/>
    </row>
    <row r="18" ht="27.75" customHeight="1">
      <c r="A18" s="5"/>
      <c r="B18" s="15"/>
      <c r="C18" s="15"/>
      <c r="D18" s="15"/>
      <c r="E18" s="15"/>
      <c r="F18" s="16"/>
      <c r="G18" s="13"/>
      <c r="H18" s="29">
        <f>SUM(H14:H17)</f>
        <v>2</v>
      </c>
      <c r="I18" s="17"/>
      <c r="J18" s="5"/>
      <c r="K18" s="5"/>
      <c r="L18" s="5"/>
      <c r="M18" s="5"/>
      <c r="N18" s="5"/>
      <c r="O18" s="5"/>
      <c r="P18" s="5"/>
      <c r="Q18" s="5"/>
      <c r="R18" s="5"/>
      <c r="S18" s="5"/>
      <c r="T18" s="5"/>
      <c r="U18" s="5"/>
      <c r="V18" s="5"/>
      <c r="W18" s="5"/>
      <c r="X18" s="5"/>
      <c r="Y18" s="5"/>
      <c r="Z18" s="5"/>
    </row>
    <row r="19" ht="27.75" customHeight="1">
      <c r="A19" s="5"/>
      <c r="B19" s="14" t="s">
        <v>34</v>
      </c>
      <c r="C19" s="15"/>
      <c r="D19" s="15"/>
      <c r="E19" s="15"/>
      <c r="F19" s="16"/>
      <c r="G19" s="13"/>
      <c r="H19" s="29"/>
      <c r="I19" s="17"/>
      <c r="J19" s="5"/>
      <c r="K19" s="5"/>
      <c r="L19" s="5"/>
      <c r="M19" s="5"/>
      <c r="N19" s="5"/>
      <c r="O19" s="5"/>
      <c r="P19" s="5"/>
      <c r="Q19" s="5"/>
      <c r="R19" s="5"/>
      <c r="S19" s="5"/>
      <c r="T19" s="5"/>
      <c r="U19" s="5"/>
      <c r="V19" s="5"/>
      <c r="W19" s="5"/>
      <c r="X19" s="5"/>
      <c r="Y19" s="5"/>
      <c r="Z19" s="5"/>
    </row>
    <row r="20" ht="27.75" customHeight="1">
      <c r="A20" s="5"/>
      <c r="B20" s="6" t="s">
        <v>35</v>
      </c>
      <c r="C20" s="6" t="s">
        <v>36</v>
      </c>
      <c r="D20" s="6" t="s">
        <v>37</v>
      </c>
      <c r="E20" s="6" t="s">
        <v>38</v>
      </c>
      <c r="F20" s="6" t="s">
        <v>39</v>
      </c>
      <c r="G20" s="12"/>
      <c r="H20" s="5"/>
      <c r="I20" s="5"/>
      <c r="J20" s="5"/>
      <c r="K20" s="5"/>
      <c r="L20" s="5"/>
      <c r="M20" s="5"/>
      <c r="N20" s="5"/>
      <c r="O20" s="5"/>
      <c r="P20" s="5"/>
      <c r="Q20" s="5"/>
      <c r="R20" s="5"/>
      <c r="S20" s="5"/>
      <c r="T20" s="5"/>
      <c r="U20" s="5"/>
      <c r="V20" s="5"/>
      <c r="W20" s="5"/>
      <c r="X20" s="5"/>
      <c r="Y20" s="5"/>
      <c r="Z20" s="5"/>
    </row>
    <row r="21" ht="27.75" customHeight="1">
      <c r="A21" s="5"/>
      <c r="B21" s="35" t="s">
        <v>40</v>
      </c>
      <c r="C21" s="36" t="s">
        <v>41</v>
      </c>
      <c r="D21" s="37" t="s">
        <v>42</v>
      </c>
      <c r="E21" s="38">
        <v>42464.0</v>
      </c>
      <c r="F21" s="39"/>
      <c r="G21" s="40"/>
      <c r="H21" s="5"/>
      <c r="I21" s="5"/>
      <c r="J21" s="5"/>
      <c r="K21" s="5"/>
      <c r="L21" s="5"/>
      <c r="M21" s="5"/>
      <c r="N21" s="5"/>
      <c r="O21" s="5"/>
      <c r="P21" s="5"/>
      <c r="Q21" s="5"/>
      <c r="R21" s="5"/>
      <c r="S21" s="5"/>
      <c r="T21" s="5"/>
      <c r="U21" s="5"/>
      <c r="V21" s="5"/>
      <c r="W21" s="5"/>
      <c r="X21" s="5"/>
      <c r="Y21" s="5"/>
      <c r="Z21" s="5"/>
    </row>
    <row r="22" ht="27.75" customHeight="1">
      <c r="A22" s="5"/>
      <c r="B22" s="41"/>
      <c r="C22" s="42"/>
      <c r="D22" s="43"/>
      <c r="E22" s="41"/>
      <c r="F22" s="41"/>
      <c r="G22" s="10"/>
      <c r="H22" s="5"/>
      <c r="I22" s="5"/>
      <c r="J22" s="5"/>
      <c r="K22" s="5"/>
      <c r="L22" s="5"/>
      <c r="M22" s="5"/>
      <c r="N22" s="5"/>
      <c r="O22" s="5"/>
      <c r="P22" s="5"/>
      <c r="Q22" s="5"/>
      <c r="R22" s="5"/>
      <c r="S22" s="5"/>
      <c r="T22" s="5"/>
      <c r="U22" s="5"/>
      <c r="V22" s="5"/>
      <c r="W22" s="5"/>
      <c r="X22" s="5"/>
      <c r="Y22" s="5"/>
      <c r="Z22" s="5"/>
    </row>
    <row r="23" ht="27.75" customHeight="1">
      <c r="A23" s="5"/>
      <c r="B23" s="41"/>
      <c r="C23" s="44"/>
      <c r="D23" s="41"/>
      <c r="E23" s="41"/>
      <c r="F23" s="41"/>
      <c r="G23" s="2"/>
      <c r="H23" s="5"/>
      <c r="I23" s="5"/>
      <c r="J23" s="5"/>
      <c r="K23" s="5"/>
      <c r="L23" s="5"/>
      <c r="M23" s="5"/>
      <c r="N23" s="5"/>
      <c r="O23" s="5"/>
      <c r="P23" s="5"/>
      <c r="Q23" s="5"/>
      <c r="R23" s="5"/>
      <c r="S23" s="5"/>
      <c r="T23" s="5"/>
      <c r="U23" s="5"/>
      <c r="V23" s="5"/>
      <c r="W23" s="5"/>
      <c r="X23" s="5"/>
      <c r="Y23" s="5"/>
      <c r="Z23" s="5"/>
    </row>
    <row r="24" ht="27.75" customHeight="1">
      <c r="A24" s="5"/>
      <c r="B24" s="15"/>
      <c r="C24" s="15"/>
      <c r="D24" s="15"/>
      <c r="E24" s="15"/>
      <c r="F24" s="16"/>
      <c r="G24" s="13"/>
      <c r="H24" s="29"/>
      <c r="I24" s="17"/>
      <c r="J24" s="5"/>
      <c r="K24" s="5"/>
      <c r="L24" s="5"/>
      <c r="M24" s="5"/>
      <c r="N24" s="5"/>
      <c r="O24" s="5"/>
      <c r="P24" s="5"/>
      <c r="Q24" s="5"/>
      <c r="R24" s="5"/>
      <c r="S24" s="5"/>
      <c r="T24" s="5"/>
      <c r="U24" s="5"/>
      <c r="V24" s="5"/>
      <c r="W24" s="5"/>
      <c r="X24" s="5"/>
      <c r="Y24" s="5"/>
      <c r="Z24" s="5"/>
    </row>
    <row r="25" ht="27.75" customHeight="1">
      <c r="A25" s="5"/>
      <c r="B25" s="14" t="s">
        <v>43</v>
      </c>
      <c r="C25" s="15"/>
      <c r="D25" s="15"/>
      <c r="E25" s="15"/>
      <c r="F25" s="16"/>
      <c r="G25" s="13"/>
      <c r="H25" s="45"/>
      <c r="I25" s="46"/>
      <c r="J25" s="5"/>
      <c r="K25" s="5"/>
      <c r="L25" s="5"/>
      <c r="M25" s="5"/>
      <c r="N25" s="5"/>
      <c r="O25" s="5"/>
      <c r="P25" s="5"/>
      <c r="Q25" s="5"/>
      <c r="R25" s="5"/>
      <c r="S25" s="5"/>
      <c r="T25" s="5"/>
      <c r="U25" s="5"/>
      <c r="V25" s="5"/>
      <c r="W25" s="5"/>
      <c r="X25" s="5"/>
      <c r="Y25" s="5"/>
      <c r="Z25" s="5"/>
    </row>
    <row r="26" ht="27.75" customHeight="1">
      <c r="A26" s="5"/>
      <c r="B26" s="47" t="s">
        <v>44</v>
      </c>
      <c r="C26" s="8"/>
      <c r="D26" s="9"/>
      <c r="E26" s="6" t="s">
        <v>45</v>
      </c>
      <c r="F26" s="6" t="s">
        <v>46</v>
      </c>
      <c r="G26" s="12"/>
      <c r="H26" s="48"/>
      <c r="I26" s="5"/>
      <c r="J26" s="5"/>
      <c r="K26" s="5"/>
      <c r="L26" s="5"/>
      <c r="M26" s="5"/>
      <c r="N26" s="5"/>
      <c r="O26" s="5"/>
      <c r="P26" s="5"/>
      <c r="Q26" s="5"/>
      <c r="R26" s="5"/>
      <c r="S26" s="5"/>
      <c r="T26" s="5"/>
      <c r="U26" s="5"/>
      <c r="V26" s="5"/>
      <c r="W26" s="5"/>
      <c r="X26" s="5"/>
      <c r="Y26" s="5"/>
      <c r="Z26" s="5"/>
    </row>
    <row r="27" ht="27.75" customHeight="1">
      <c r="A27" s="5"/>
      <c r="B27" s="49" t="s">
        <v>47</v>
      </c>
      <c r="C27" s="50"/>
      <c r="D27" s="51"/>
      <c r="E27" s="52" t="s">
        <v>48</v>
      </c>
      <c r="F27" s="53" t="s">
        <v>49</v>
      </c>
      <c r="G27" s="40"/>
      <c r="H27" s="5"/>
      <c r="I27" s="5"/>
      <c r="J27" s="5"/>
      <c r="K27" s="5"/>
      <c r="L27" s="5"/>
      <c r="M27" s="5"/>
      <c r="N27" s="5"/>
      <c r="O27" s="5"/>
      <c r="P27" s="5"/>
      <c r="Q27" s="5"/>
      <c r="R27" s="5"/>
      <c r="S27" s="5"/>
      <c r="T27" s="5"/>
      <c r="U27" s="5"/>
      <c r="V27" s="5"/>
      <c r="W27" s="5"/>
      <c r="X27" s="5"/>
      <c r="Y27" s="5"/>
      <c r="Z27" s="5"/>
    </row>
    <row r="28" ht="27.75" customHeight="1">
      <c r="A28" s="5"/>
      <c r="B28" s="54" t="s">
        <v>50</v>
      </c>
      <c r="C28" s="50"/>
      <c r="D28" s="51"/>
      <c r="E28" s="52" t="s">
        <v>48</v>
      </c>
      <c r="F28" s="55" t="s">
        <v>51</v>
      </c>
      <c r="G28" s="40"/>
      <c r="H28" s="5"/>
      <c r="I28" s="5"/>
      <c r="J28" s="5"/>
      <c r="K28" s="5"/>
      <c r="L28" s="5"/>
      <c r="M28" s="5"/>
      <c r="N28" s="5"/>
      <c r="O28" s="5"/>
      <c r="P28" s="5"/>
      <c r="Q28" s="5"/>
      <c r="R28" s="5"/>
      <c r="S28" s="5"/>
      <c r="T28" s="5"/>
      <c r="U28" s="5"/>
      <c r="V28" s="5"/>
      <c r="W28" s="5"/>
      <c r="X28" s="5"/>
      <c r="Y28" s="5"/>
      <c r="Z28" s="5"/>
    </row>
    <row r="29" ht="27.75" customHeight="1">
      <c r="A29" s="5"/>
      <c r="B29" s="54" t="s">
        <v>52</v>
      </c>
      <c r="C29" s="50"/>
      <c r="D29" s="51"/>
      <c r="E29" s="52" t="s">
        <v>53</v>
      </c>
      <c r="F29" s="55" t="s">
        <v>54</v>
      </c>
      <c r="G29" s="40"/>
      <c r="H29" s="5"/>
      <c r="I29" s="5"/>
      <c r="J29" s="5"/>
      <c r="K29" s="5"/>
      <c r="L29" s="5"/>
      <c r="M29" s="5"/>
      <c r="N29" s="5"/>
      <c r="O29" s="5"/>
      <c r="P29" s="5"/>
      <c r="Q29" s="5"/>
      <c r="R29" s="5"/>
      <c r="S29" s="5"/>
      <c r="T29" s="5"/>
      <c r="U29" s="5"/>
      <c r="V29" s="5"/>
      <c r="W29" s="5"/>
      <c r="X29" s="5"/>
      <c r="Y29" s="5"/>
      <c r="Z29" s="5"/>
    </row>
    <row r="30" ht="27.75" customHeight="1">
      <c r="A30" s="5"/>
      <c r="B30" s="54" t="s">
        <v>55</v>
      </c>
      <c r="C30" s="50"/>
      <c r="D30" s="51"/>
      <c r="E30" s="52" t="s">
        <v>53</v>
      </c>
      <c r="F30" s="55" t="s">
        <v>56</v>
      </c>
      <c r="G30" s="40"/>
      <c r="H30" s="5"/>
      <c r="I30" s="5"/>
      <c r="J30" s="5"/>
      <c r="K30" s="5"/>
      <c r="L30" s="5"/>
      <c r="M30" s="5"/>
      <c r="N30" s="5"/>
      <c r="O30" s="5"/>
      <c r="P30" s="5"/>
      <c r="Q30" s="5"/>
      <c r="R30" s="5"/>
      <c r="S30" s="5"/>
      <c r="T30" s="5"/>
      <c r="U30" s="5"/>
      <c r="V30" s="5"/>
      <c r="W30" s="5"/>
      <c r="X30" s="5"/>
      <c r="Y30" s="5"/>
      <c r="Z30" s="5"/>
    </row>
    <row r="31" ht="27.75" customHeight="1">
      <c r="A31" s="5"/>
      <c r="B31" s="56"/>
      <c r="C31" s="57"/>
      <c r="D31" s="57"/>
      <c r="E31" s="15"/>
      <c r="F31" s="16"/>
      <c r="G31" s="13"/>
      <c r="H31" s="5"/>
      <c r="I31" s="5"/>
      <c r="J31" s="5"/>
      <c r="K31" s="5"/>
      <c r="L31" s="5"/>
      <c r="M31" s="5"/>
      <c r="N31" s="5"/>
      <c r="O31" s="5"/>
      <c r="P31" s="5"/>
      <c r="Q31" s="5"/>
      <c r="R31" s="5"/>
      <c r="S31" s="5"/>
      <c r="T31" s="5"/>
      <c r="U31" s="5"/>
      <c r="V31" s="5"/>
      <c r="W31" s="5"/>
      <c r="X31" s="5"/>
      <c r="Y31" s="5"/>
      <c r="Z31" s="5"/>
    </row>
    <row r="32" ht="27.75" customHeight="1">
      <c r="A32" s="5"/>
      <c r="B32" s="14" t="s">
        <v>57</v>
      </c>
      <c r="C32" s="15"/>
      <c r="D32" s="15"/>
      <c r="E32" s="6" t="s">
        <v>58</v>
      </c>
      <c r="F32" s="28" t="str">
        <f>CONCATENATE(ROUNDDOWN(I44,0),"년 ",ROUNDDOWN(J44,0),"개월")</f>
        <v>10년 1개월</v>
      </c>
      <c r="G32" s="12"/>
      <c r="H32" s="29"/>
      <c r="I32" s="48"/>
      <c r="J32" s="48"/>
      <c r="K32" s="5"/>
      <c r="L32" s="5"/>
      <c r="M32" s="5"/>
      <c r="N32" s="5"/>
      <c r="O32" s="5"/>
      <c r="P32" s="5"/>
      <c r="Q32" s="5"/>
      <c r="R32" s="5"/>
      <c r="S32" s="5"/>
      <c r="T32" s="5"/>
      <c r="U32" s="5"/>
      <c r="V32" s="5"/>
      <c r="W32" s="5"/>
      <c r="X32" s="5"/>
      <c r="Y32" s="5"/>
      <c r="Z32" s="5"/>
    </row>
    <row r="33" ht="27.75" customHeight="1">
      <c r="A33" s="5"/>
      <c r="B33" s="6" t="s">
        <v>59</v>
      </c>
      <c r="C33" s="6" t="s">
        <v>60</v>
      </c>
      <c r="D33" s="6" t="s">
        <v>61</v>
      </c>
      <c r="E33" s="6" t="s">
        <v>62</v>
      </c>
      <c r="F33" s="6" t="s">
        <v>63</v>
      </c>
      <c r="G33" s="12"/>
      <c r="H33" s="29" t="s">
        <v>64</v>
      </c>
      <c r="I33" s="29" t="s">
        <v>65</v>
      </c>
      <c r="J33" s="58" t="s">
        <v>66</v>
      </c>
      <c r="K33" s="5"/>
      <c r="L33" s="5"/>
      <c r="M33" s="5"/>
      <c r="N33" s="5"/>
      <c r="O33" s="5"/>
      <c r="P33" s="5"/>
      <c r="Q33" s="5"/>
      <c r="R33" s="5"/>
      <c r="S33" s="5"/>
      <c r="T33" s="5"/>
      <c r="U33" s="5"/>
      <c r="V33" s="5"/>
      <c r="W33" s="5"/>
      <c r="X33" s="5"/>
      <c r="Y33" s="5"/>
      <c r="Z33" s="5"/>
    </row>
    <row r="34" ht="27.75" customHeight="1">
      <c r="A34" s="5"/>
      <c r="B34" s="59" t="s">
        <v>67</v>
      </c>
      <c r="C34" s="59" t="s">
        <v>68</v>
      </c>
      <c r="D34" s="60" t="s">
        <v>69</v>
      </c>
      <c r="E34" s="61">
        <v>45144.0</v>
      </c>
      <c r="F34" s="62">
        <v>45961.0</v>
      </c>
      <c r="G34" s="40"/>
      <c r="H34" s="58">
        <f t="shared" ref="H34:H43" si="1">IF(F34-E34&gt;180,F34-E34,0)</f>
        <v>817</v>
      </c>
      <c r="I34" s="58">
        <f t="shared" ref="I34:I44" si="2">H34/365</f>
        <v>2.238356164</v>
      </c>
      <c r="J34" s="58"/>
      <c r="K34" s="5"/>
      <c r="L34" s="5"/>
      <c r="M34" s="5"/>
      <c r="N34" s="5"/>
      <c r="O34" s="5"/>
      <c r="P34" s="5"/>
      <c r="Q34" s="5"/>
      <c r="R34" s="5"/>
      <c r="S34" s="5"/>
      <c r="T34" s="5"/>
      <c r="U34" s="5"/>
      <c r="V34" s="5"/>
      <c r="W34" s="5"/>
      <c r="X34" s="5"/>
      <c r="Y34" s="5"/>
      <c r="Z34" s="5"/>
    </row>
    <row r="35" ht="27.75" customHeight="1">
      <c r="A35" s="5"/>
      <c r="B35" s="20" t="s">
        <v>70</v>
      </c>
      <c r="C35" s="63" t="s">
        <v>71</v>
      </c>
      <c r="D35" s="64" t="s">
        <v>72</v>
      </c>
      <c r="E35" s="61">
        <v>44621.0</v>
      </c>
      <c r="F35" s="62">
        <v>45281.0</v>
      </c>
      <c r="G35" s="40"/>
      <c r="H35" s="58">
        <f t="shared" si="1"/>
        <v>660</v>
      </c>
      <c r="I35" s="58">
        <f t="shared" si="2"/>
        <v>1.808219178</v>
      </c>
      <c r="J35" s="58"/>
      <c r="K35" s="5"/>
      <c r="L35" s="5"/>
      <c r="M35" s="5"/>
      <c r="N35" s="5"/>
      <c r="O35" s="5"/>
      <c r="P35" s="5"/>
      <c r="Q35" s="5"/>
      <c r="R35" s="5"/>
      <c r="S35" s="5"/>
      <c r="T35" s="5"/>
      <c r="U35" s="5"/>
      <c r="V35" s="5"/>
      <c r="W35" s="5"/>
      <c r="X35" s="5"/>
      <c r="Y35" s="5"/>
      <c r="Z35" s="5"/>
    </row>
    <row r="36" ht="27.75" customHeight="1">
      <c r="A36" s="5"/>
      <c r="B36" s="20" t="s">
        <v>73</v>
      </c>
      <c r="C36" s="20" t="s">
        <v>74</v>
      </c>
      <c r="D36" s="64" t="s">
        <v>75</v>
      </c>
      <c r="E36" s="61">
        <v>43258.0</v>
      </c>
      <c r="F36" s="61">
        <v>44490.0</v>
      </c>
      <c r="G36" s="40"/>
      <c r="H36" s="58">
        <f t="shared" si="1"/>
        <v>1232</v>
      </c>
      <c r="I36" s="58">
        <f t="shared" si="2"/>
        <v>3.375342466</v>
      </c>
      <c r="J36" s="58"/>
      <c r="K36" s="5"/>
      <c r="L36" s="5"/>
      <c r="M36" s="5"/>
      <c r="N36" s="5"/>
      <c r="O36" s="5"/>
      <c r="P36" s="5"/>
      <c r="Q36" s="5"/>
      <c r="R36" s="5"/>
      <c r="S36" s="5"/>
      <c r="T36" s="5"/>
      <c r="U36" s="5"/>
      <c r="V36" s="5"/>
      <c r="W36" s="5"/>
      <c r="X36" s="5"/>
      <c r="Y36" s="5"/>
      <c r="Z36" s="5"/>
    </row>
    <row r="37" ht="27.75" customHeight="1">
      <c r="A37" s="5"/>
      <c r="B37" s="65" t="s">
        <v>76</v>
      </c>
      <c r="C37" s="66" t="s">
        <v>77</v>
      </c>
      <c r="D37" s="67" t="s">
        <v>78</v>
      </c>
      <c r="E37" s="68">
        <v>41654.0</v>
      </c>
      <c r="F37" s="68">
        <v>42018.0</v>
      </c>
      <c r="G37" s="40"/>
      <c r="H37" s="58">
        <f t="shared" si="1"/>
        <v>364</v>
      </c>
      <c r="I37" s="58">
        <f t="shared" si="2"/>
        <v>0.997260274</v>
      </c>
      <c r="J37" s="58"/>
      <c r="K37" s="5"/>
      <c r="L37" s="5"/>
      <c r="M37" s="5"/>
      <c r="N37" s="5"/>
      <c r="O37" s="5"/>
      <c r="P37" s="5"/>
      <c r="Q37" s="5"/>
      <c r="R37" s="5"/>
      <c r="S37" s="5"/>
      <c r="T37" s="5"/>
      <c r="U37" s="5"/>
      <c r="V37" s="5"/>
      <c r="W37" s="5"/>
      <c r="X37" s="5"/>
      <c r="Y37" s="5"/>
      <c r="Z37" s="5"/>
    </row>
    <row r="38" ht="27.75" customHeight="1">
      <c r="A38" s="5"/>
      <c r="B38" s="20" t="s">
        <v>79</v>
      </c>
      <c r="C38" s="20" t="s">
        <v>80</v>
      </c>
      <c r="D38" s="64" t="s">
        <v>81</v>
      </c>
      <c r="E38" s="61">
        <v>40513.0</v>
      </c>
      <c r="F38" s="61">
        <v>40965.0</v>
      </c>
      <c r="G38" s="69"/>
      <c r="H38" s="58">
        <f t="shared" si="1"/>
        <v>452</v>
      </c>
      <c r="I38" s="58">
        <f t="shared" si="2"/>
        <v>1.238356164</v>
      </c>
      <c r="J38" s="58"/>
      <c r="K38" s="5"/>
      <c r="L38" s="5"/>
      <c r="M38" s="5"/>
      <c r="N38" s="5"/>
      <c r="O38" s="5"/>
      <c r="P38" s="5"/>
      <c r="Q38" s="5"/>
      <c r="R38" s="5"/>
      <c r="S38" s="5"/>
      <c r="T38" s="5"/>
      <c r="U38" s="5"/>
      <c r="V38" s="5"/>
      <c r="W38" s="5"/>
      <c r="X38" s="5"/>
      <c r="Y38" s="5"/>
      <c r="Z38" s="5"/>
    </row>
    <row r="39" ht="27.75" customHeight="1">
      <c r="A39" s="5"/>
      <c r="B39" s="70" t="s">
        <v>82</v>
      </c>
      <c r="C39" s="59" t="s">
        <v>83</v>
      </c>
      <c r="D39" s="60" t="s">
        <v>84</v>
      </c>
      <c r="E39" s="62">
        <v>40238.0</v>
      </c>
      <c r="F39" s="62">
        <v>40421.0</v>
      </c>
      <c r="G39" s="69"/>
      <c r="H39" s="58">
        <f t="shared" si="1"/>
        <v>183</v>
      </c>
      <c r="I39" s="58">
        <f t="shared" si="2"/>
        <v>0.501369863</v>
      </c>
      <c r="J39" s="58"/>
      <c r="K39" s="5"/>
      <c r="L39" s="5"/>
      <c r="M39" s="5"/>
      <c r="N39" s="5"/>
      <c r="O39" s="5"/>
      <c r="P39" s="5"/>
      <c r="Q39" s="5"/>
      <c r="R39" s="5"/>
      <c r="S39" s="5"/>
      <c r="T39" s="5"/>
      <c r="U39" s="5"/>
      <c r="V39" s="5"/>
      <c r="W39" s="5"/>
      <c r="X39" s="5"/>
      <c r="Y39" s="5"/>
      <c r="Z39" s="5"/>
    </row>
    <row r="40" ht="27.75" customHeight="1">
      <c r="A40" s="5"/>
      <c r="B40" s="20"/>
      <c r="C40" s="20"/>
      <c r="D40" s="64"/>
      <c r="E40" s="61"/>
      <c r="F40" s="61"/>
      <c r="G40" s="69"/>
      <c r="H40" s="58">
        <f t="shared" si="1"/>
        <v>0</v>
      </c>
      <c r="I40" s="58">
        <f t="shared" si="2"/>
        <v>0</v>
      </c>
      <c r="J40" s="58"/>
      <c r="K40" s="5"/>
      <c r="L40" s="5"/>
      <c r="M40" s="5"/>
      <c r="N40" s="5"/>
      <c r="O40" s="5"/>
      <c r="P40" s="5"/>
      <c r="Q40" s="5"/>
      <c r="R40" s="5"/>
      <c r="S40" s="5"/>
      <c r="T40" s="5"/>
      <c r="U40" s="5"/>
      <c r="V40" s="5"/>
      <c r="W40" s="5"/>
      <c r="X40" s="5"/>
      <c r="Y40" s="5"/>
      <c r="Z40" s="5"/>
    </row>
    <row r="41" ht="27.75" customHeight="1">
      <c r="A41" s="5"/>
      <c r="B41" s="70"/>
      <c r="C41" s="59"/>
      <c r="D41" s="60"/>
      <c r="E41" s="62"/>
      <c r="F41" s="62"/>
      <c r="G41" s="69"/>
      <c r="H41" s="58">
        <f t="shared" si="1"/>
        <v>0</v>
      </c>
      <c r="I41" s="58">
        <f t="shared" si="2"/>
        <v>0</v>
      </c>
      <c r="J41" s="58"/>
      <c r="K41" s="5"/>
      <c r="L41" s="5"/>
      <c r="M41" s="5"/>
      <c r="N41" s="5"/>
      <c r="O41" s="5"/>
      <c r="P41" s="5"/>
      <c r="Q41" s="5"/>
      <c r="R41" s="5"/>
      <c r="S41" s="5"/>
      <c r="T41" s="5"/>
      <c r="U41" s="5"/>
      <c r="V41" s="5"/>
      <c r="W41" s="5"/>
      <c r="X41" s="5"/>
      <c r="Y41" s="5"/>
      <c r="Z41" s="5"/>
    </row>
    <row r="42" ht="27.75" customHeight="1">
      <c r="A42" s="5"/>
      <c r="B42" s="28"/>
      <c r="C42" s="28"/>
      <c r="D42" s="71"/>
      <c r="E42" s="28"/>
      <c r="F42" s="72"/>
      <c r="G42" s="69"/>
      <c r="H42" s="58">
        <f t="shared" si="1"/>
        <v>0</v>
      </c>
      <c r="I42" s="58">
        <f t="shared" si="2"/>
        <v>0</v>
      </c>
      <c r="J42" s="58"/>
      <c r="K42" s="5"/>
      <c r="L42" s="5"/>
      <c r="M42" s="5"/>
      <c r="N42" s="5"/>
      <c r="O42" s="5"/>
      <c r="P42" s="5"/>
      <c r="Q42" s="5"/>
      <c r="R42" s="5"/>
      <c r="S42" s="5"/>
      <c r="T42" s="5"/>
      <c r="U42" s="5"/>
      <c r="V42" s="5"/>
      <c r="W42" s="5"/>
      <c r="X42" s="5"/>
      <c r="Y42" s="5"/>
      <c r="Z42" s="5"/>
    </row>
    <row r="43" ht="27.75" customHeight="1">
      <c r="A43" s="5"/>
      <c r="B43" s="28"/>
      <c r="C43" s="28"/>
      <c r="D43" s="71"/>
      <c r="E43" s="28"/>
      <c r="F43" s="72"/>
      <c r="G43" s="69"/>
      <c r="H43" s="58">
        <f t="shared" si="1"/>
        <v>0</v>
      </c>
      <c r="I43" s="58">
        <f t="shared" si="2"/>
        <v>0</v>
      </c>
      <c r="J43" s="58"/>
      <c r="K43" s="5"/>
      <c r="L43" s="5"/>
      <c r="M43" s="5"/>
      <c r="N43" s="5"/>
      <c r="O43" s="5"/>
      <c r="P43" s="5"/>
      <c r="Q43" s="5"/>
      <c r="R43" s="5"/>
      <c r="S43" s="5"/>
      <c r="T43" s="5"/>
      <c r="U43" s="5"/>
      <c r="V43" s="5"/>
      <c r="W43" s="5"/>
      <c r="X43" s="5"/>
      <c r="Y43" s="5"/>
      <c r="Z43" s="5"/>
    </row>
    <row r="44" ht="27.75" customHeight="1">
      <c r="A44" s="5"/>
      <c r="B44" s="15"/>
      <c r="C44" s="15"/>
      <c r="D44" s="15"/>
      <c r="E44" s="15"/>
      <c r="F44" s="16"/>
      <c r="G44" s="13"/>
      <c r="H44" s="58">
        <f>SUM(H34:H43)</f>
        <v>3708</v>
      </c>
      <c r="I44" s="58">
        <f t="shared" si="2"/>
        <v>10.15890411</v>
      </c>
      <c r="J44" s="58">
        <f>ROUNDDOWN((I44-ROUNDDOWN(I44,0))*12,1)</f>
        <v>1.9</v>
      </c>
      <c r="K44" s="5"/>
      <c r="L44" s="5"/>
      <c r="M44" s="5"/>
      <c r="N44" s="5"/>
      <c r="O44" s="5"/>
      <c r="P44" s="5"/>
      <c r="Q44" s="5"/>
      <c r="R44" s="5"/>
      <c r="S44" s="5"/>
      <c r="T44" s="5"/>
      <c r="U44" s="5"/>
      <c r="V44" s="5"/>
      <c r="W44" s="5"/>
      <c r="X44" s="5"/>
      <c r="Y44" s="5"/>
      <c r="Z44" s="5"/>
    </row>
    <row r="45" ht="27.75" customHeight="1">
      <c r="A45" s="5"/>
      <c r="B45" s="73" t="s">
        <v>85</v>
      </c>
      <c r="C45" s="15"/>
      <c r="D45" s="15"/>
      <c r="E45" s="15"/>
      <c r="F45" s="15"/>
      <c r="G45" s="12"/>
      <c r="H45" s="29"/>
      <c r="I45" s="48"/>
      <c r="J45" s="48"/>
      <c r="K45" s="5"/>
      <c r="L45" s="5"/>
      <c r="M45" s="5"/>
      <c r="N45" s="5"/>
      <c r="O45" s="5"/>
      <c r="P45" s="5"/>
      <c r="Q45" s="5"/>
      <c r="R45" s="5"/>
      <c r="S45" s="5"/>
      <c r="T45" s="5"/>
      <c r="U45" s="5"/>
      <c r="V45" s="5"/>
      <c r="W45" s="5"/>
      <c r="X45" s="5"/>
      <c r="Y45" s="5"/>
      <c r="Z45" s="5"/>
    </row>
    <row r="46" ht="27.75" customHeight="1">
      <c r="A46" s="5"/>
      <c r="B46" s="6" t="s">
        <v>86</v>
      </c>
      <c r="C46" s="6" t="s">
        <v>60</v>
      </c>
      <c r="D46" s="6" t="s">
        <v>61</v>
      </c>
      <c r="E46" s="6" t="s">
        <v>62</v>
      </c>
      <c r="F46" s="6" t="s">
        <v>63</v>
      </c>
      <c r="G46" s="12"/>
      <c r="H46" s="29" t="s">
        <v>64</v>
      </c>
      <c r="I46" s="29" t="s">
        <v>65</v>
      </c>
      <c r="J46" s="58" t="s">
        <v>66</v>
      </c>
      <c r="K46" s="5"/>
      <c r="L46" s="5"/>
      <c r="M46" s="5"/>
      <c r="N46" s="5"/>
      <c r="O46" s="5"/>
      <c r="P46" s="5"/>
      <c r="Q46" s="5"/>
      <c r="R46" s="5"/>
      <c r="S46" s="5"/>
      <c r="T46" s="5"/>
      <c r="U46" s="5"/>
      <c r="V46" s="5"/>
      <c r="W46" s="5"/>
      <c r="X46" s="5"/>
      <c r="Y46" s="5"/>
      <c r="Z46" s="5"/>
    </row>
    <row r="47" ht="27.75" customHeight="1">
      <c r="A47" s="5"/>
      <c r="B47" s="74" t="s">
        <v>87</v>
      </c>
      <c r="C47" s="70" t="s">
        <v>88</v>
      </c>
      <c r="D47" s="75" t="s">
        <v>89</v>
      </c>
      <c r="E47" s="62">
        <v>45825.0</v>
      </c>
      <c r="F47" s="62"/>
      <c r="G47" s="76"/>
      <c r="H47" s="58"/>
      <c r="I47" s="58"/>
      <c r="J47" s="58"/>
      <c r="K47" s="5"/>
      <c r="L47" s="5"/>
      <c r="M47" s="5"/>
      <c r="N47" s="5"/>
      <c r="O47" s="5"/>
      <c r="P47" s="5"/>
      <c r="Q47" s="5"/>
      <c r="R47" s="5"/>
      <c r="S47" s="5"/>
      <c r="T47" s="5"/>
      <c r="U47" s="5"/>
      <c r="V47" s="5"/>
      <c r="W47" s="5"/>
      <c r="X47" s="5"/>
      <c r="Y47" s="5"/>
      <c r="Z47" s="5"/>
    </row>
    <row r="48" ht="27.75" customHeight="1">
      <c r="A48" s="5"/>
      <c r="B48" s="77" t="s">
        <v>90</v>
      </c>
      <c r="C48" s="70" t="s">
        <v>91</v>
      </c>
      <c r="D48" s="78" t="s">
        <v>92</v>
      </c>
      <c r="E48" s="62">
        <v>45816.0</v>
      </c>
      <c r="F48" s="61"/>
      <c r="G48" s="76"/>
      <c r="H48" s="58"/>
      <c r="I48" s="58"/>
      <c r="J48" s="58"/>
      <c r="K48" s="5"/>
      <c r="L48" s="5"/>
      <c r="M48" s="5"/>
      <c r="N48" s="5"/>
      <c r="O48" s="5"/>
      <c r="P48" s="5"/>
      <c r="Q48" s="5"/>
      <c r="R48" s="5"/>
      <c r="S48" s="5"/>
      <c r="T48" s="5"/>
      <c r="U48" s="5"/>
      <c r="V48" s="5"/>
      <c r="W48" s="5"/>
      <c r="X48" s="5"/>
      <c r="Y48" s="5"/>
      <c r="Z48" s="5"/>
    </row>
    <row r="49" ht="27.75" hidden="1" customHeight="1">
      <c r="A49" s="5"/>
      <c r="B49" s="77" t="s">
        <v>93</v>
      </c>
      <c r="C49" s="70" t="s">
        <v>94</v>
      </c>
      <c r="D49" s="78" t="s">
        <v>95</v>
      </c>
      <c r="E49" s="62">
        <v>43617.0</v>
      </c>
      <c r="F49" s="62"/>
      <c r="G49" s="76"/>
      <c r="H49" s="58"/>
      <c r="I49" s="58"/>
      <c r="J49" s="58"/>
      <c r="K49" s="5"/>
      <c r="L49" s="5"/>
      <c r="M49" s="5"/>
      <c r="N49" s="5"/>
      <c r="O49" s="5"/>
      <c r="P49" s="5"/>
      <c r="Q49" s="5"/>
      <c r="R49" s="5"/>
      <c r="S49" s="5"/>
      <c r="T49" s="5"/>
      <c r="U49" s="5"/>
      <c r="V49" s="5"/>
      <c r="W49" s="5"/>
      <c r="X49" s="5"/>
      <c r="Y49" s="5"/>
      <c r="Z49" s="5"/>
    </row>
    <row r="50" ht="27.75" hidden="1" customHeight="1">
      <c r="A50" s="5"/>
      <c r="B50" s="77" t="s">
        <v>96</v>
      </c>
      <c r="C50" s="70" t="s">
        <v>94</v>
      </c>
      <c r="D50" s="78" t="s">
        <v>95</v>
      </c>
      <c r="E50" s="62">
        <v>44190.0</v>
      </c>
      <c r="F50" s="62"/>
      <c r="G50" s="76"/>
      <c r="H50" s="58"/>
      <c r="I50" s="58"/>
      <c r="J50" s="58"/>
      <c r="K50" s="5"/>
      <c r="L50" s="5"/>
      <c r="M50" s="5"/>
      <c r="N50" s="5"/>
      <c r="O50" s="5"/>
      <c r="P50" s="5"/>
      <c r="Q50" s="5"/>
      <c r="R50" s="5"/>
      <c r="S50" s="5"/>
      <c r="T50" s="5"/>
      <c r="U50" s="5"/>
      <c r="V50" s="5"/>
      <c r="W50" s="5"/>
      <c r="X50" s="5"/>
      <c r="Y50" s="5"/>
      <c r="Z50" s="5"/>
    </row>
    <row r="51" ht="27.75" customHeight="1">
      <c r="A51" s="5"/>
      <c r="B51" s="77" t="s">
        <v>97</v>
      </c>
      <c r="C51" s="79" t="s">
        <v>98</v>
      </c>
      <c r="D51" s="78" t="s">
        <v>99</v>
      </c>
      <c r="E51" s="62">
        <v>45460.0</v>
      </c>
      <c r="F51" s="62">
        <v>45460.0</v>
      </c>
      <c r="G51" s="76"/>
      <c r="H51" s="58"/>
      <c r="I51" s="58"/>
      <c r="J51" s="58"/>
      <c r="K51" s="5"/>
      <c r="L51" s="5"/>
      <c r="M51" s="5"/>
      <c r="N51" s="5"/>
      <c r="O51" s="5"/>
      <c r="P51" s="5"/>
      <c r="Q51" s="5"/>
      <c r="R51" s="5"/>
      <c r="S51" s="5"/>
      <c r="T51" s="5"/>
      <c r="U51" s="5"/>
      <c r="V51" s="5"/>
      <c r="W51" s="5"/>
      <c r="X51" s="5"/>
      <c r="Y51" s="5"/>
      <c r="Z51" s="5"/>
    </row>
    <row r="52" ht="27.75" customHeight="1">
      <c r="A52" s="5"/>
      <c r="B52" s="80" t="s">
        <v>100</v>
      </c>
      <c r="C52" s="79" t="s">
        <v>91</v>
      </c>
      <c r="D52" s="75" t="s">
        <v>101</v>
      </c>
      <c r="E52" s="61">
        <v>45758.0</v>
      </c>
      <c r="F52" s="61">
        <v>45793.0</v>
      </c>
      <c r="G52" s="76"/>
      <c r="H52" s="58">
        <f t="shared" ref="H52:H56" si="3">F52-E52</f>
        <v>35</v>
      </c>
      <c r="I52" s="58">
        <f t="shared" ref="I52:I56" si="4">H52/365</f>
        <v>0.09589041096</v>
      </c>
      <c r="J52" s="58"/>
      <c r="K52" s="5"/>
      <c r="L52" s="5"/>
      <c r="M52" s="5"/>
      <c r="N52" s="5"/>
      <c r="O52" s="5"/>
      <c r="P52" s="5"/>
      <c r="Q52" s="5"/>
      <c r="R52" s="5"/>
      <c r="S52" s="5"/>
      <c r="T52" s="5"/>
      <c r="U52" s="5"/>
      <c r="V52" s="5"/>
      <c r="W52" s="5"/>
      <c r="X52" s="5"/>
      <c r="Y52" s="5"/>
      <c r="Z52" s="5"/>
    </row>
    <row r="53" ht="27.75" customHeight="1">
      <c r="A53" s="5"/>
      <c r="B53" s="80" t="s">
        <v>102</v>
      </c>
      <c r="C53" s="79" t="s">
        <v>98</v>
      </c>
      <c r="D53" s="81" t="s">
        <v>103</v>
      </c>
      <c r="E53" s="61">
        <v>45351.0</v>
      </c>
      <c r="F53" s="61">
        <v>45393.0</v>
      </c>
      <c r="G53" s="76"/>
      <c r="H53" s="58">
        <f t="shared" si="3"/>
        <v>42</v>
      </c>
      <c r="I53" s="58">
        <f t="shared" si="4"/>
        <v>0.1150684932</v>
      </c>
      <c r="J53" s="58"/>
      <c r="K53" s="5"/>
      <c r="L53" s="5"/>
      <c r="M53" s="5"/>
      <c r="N53" s="5"/>
      <c r="O53" s="5"/>
      <c r="P53" s="5"/>
      <c r="Q53" s="5"/>
      <c r="R53" s="5"/>
      <c r="S53" s="5"/>
      <c r="T53" s="5"/>
      <c r="U53" s="5"/>
      <c r="V53" s="5"/>
      <c r="W53" s="5"/>
      <c r="X53" s="5"/>
      <c r="Y53" s="5"/>
      <c r="Z53" s="5"/>
    </row>
    <row r="54" ht="27.75" customHeight="1">
      <c r="A54" s="5"/>
      <c r="B54" s="82" t="s">
        <v>104</v>
      </c>
      <c r="C54" s="79" t="s">
        <v>98</v>
      </c>
      <c r="D54" s="81" t="s">
        <v>105</v>
      </c>
      <c r="E54" s="61">
        <v>44878.0</v>
      </c>
      <c r="F54" s="61">
        <v>44546.0</v>
      </c>
      <c r="G54" s="76"/>
      <c r="H54" s="58">
        <f t="shared" si="3"/>
        <v>-332</v>
      </c>
      <c r="I54" s="58">
        <f t="shared" si="4"/>
        <v>-0.9095890411</v>
      </c>
      <c r="J54" s="58"/>
      <c r="K54" s="5"/>
      <c r="L54" s="5"/>
      <c r="M54" s="5"/>
      <c r="N54" s="5"/>
      <c r="O54" s="5"/>
      <c r="P54" s="5"/>
      <c r="Q54" s="5"/>
      <c r="R54" s="5"/>
      <c r="S54" s="5"/>
      <c r="T54" s="5"/>
      <c r="U54" s="5"/>
      <c r="V54" s="5"/>
      <c r="W54" s="5"/>
      <c r="X54" s="5"/>
      <c r="Y54" s="5"/>
      <c r="Z54" s="5"/>
    </row>
    <row r="55" ht="27.75" customHeight="1">
      <c r="A55" s="5"/>
      <c r="B55" s="82" t="s">
        <v>106</v>
      </c>
      <c r="C55" s="79" t="s">
        <v>98</v>
      </c>
      <c r="D55" s="81" t="s">
        <v>107</v>
      </c>
      <c r="E55" s="61">
        <v>44037.0</v>
      </c>
      <c r="F55" s="61">
        <v>44538.0</v>
      </c>
      <c r="G55" s="76"/>
      <c r="H55" s="58">
        <f t="shared" si="3"/>
        <v>501</v>
      </c>
      <c r="I55" s="58">
        <f t="shared" si="4"/>
        <v>1.37260274</v>
      </c>
      <c r="J55" s="58"/>
      <c r="K55" s="5"/>
      <c r="L55" s="5"/>
      <c r="M55" s="5"/>
      <c r="N55" s="5"/>
      <c r="O55" s="5"/>
      <c r="P55" s="5"/>
      <c r="Q55" s="5"/>
      <c r="R55" s="5"/>
      <c r="S55" s="5"/>
      <c r="T55" s="5"/>
      <c r="U55" s="5"/>
      <c r="V55" s="5"/>
      <c r="W55" s="5"/>
      <c r="X55" s="5"/>
      <c r="Y55" s="5"/>
      <c r="Z55" s="5"/>
    </row>
    <row r="56" ht="27.75" customHeight="1">
      <c r="A56" s="5"/>
      <c r="B56" s="82" t="s">
        <v>108</v>
      </c>
      <c r="C56" s="79" t="s">
        <v>98</v>
      </c>
      <c r="D56" s="81" t="s">
        <v>109</v>
      </c>
      <c r="E56" s="61">
        <v>45349.0</v>
      </c>
      <c r="F56" s="61">
        <v>45328.0</v>
      </c>
      <c r="G56" s="76"/>
      <c r="H56" s="58">
        <f t="shared" si="3"/>
        <v>-21</v>
      </c>
      <c r="I56" s="58">
        <f t="shared" si="4"/>
        <v>-0.05753424658</v>
      </c>
      <c r="J56" s="58"/>
      <c r="K56" s="5"/>
      <c r="L56" s="5"/>
      <c r="M56" s="5"/>
      <c r="N56" s="5"/>
      <c r="O56" s="5"/>
      <c r="P56" s="5"/>
      <c r="Q56" s="5"/>
      <c r="R56" s="5"/>
      <c r="S56" s="5"/>
      <c r="T56" s="5"/>
      <c r="U56" s="5"/>
      <c r="V56" s="5"/>
      <c r="W56" s="5"/>
      <c r="X56" s="5"/>
      <c r="Y56" s="5"/>
      <c r="Z56" s="5"/>
    </row>
    <row r="57" ht="27.75" customHeight="1">
      <c r="A57" s="5"/>
      <c r="B57" s="83"/>
      <c r="C57" s="84"/>
      <c r="D57" s="85"/>
      <c r="E57" s="86"/>
      <c r="F57" s="86"/>
      <c r="G57" s="76"/>
      <c r="H57" s="58"/>
      <c r="I57" s="58"/>
      <c r="J57" s="58"/>
      <c r="K57" s="5"/>
      <c r="L57" s="5"/>
      <c r="M57" s="5"/>
      <c r="N57" s="5"/>
      <c r="O57" s="5"/>
      <c r="P57" s="5"/>
      <c r="Q57" s="5"/>
      <c r="R57" s="5"/>
      <c r="S57" s="5"/>
      <c r="T57" s="5"/>
      <c r="U57" s="5"/>
      <c r="V57" s="5"/>
      <c r="W57" s="5"/>
      <c r="X57" s="5"/>
      <c r="Y57" s="5"/>
      <c r="Z57" s="5"/>
    </row>
    <row r="58" ht="27.75" customHeight="1">
      <c r="A58" s="5"/>
      <c r="B58" s="15"/>
      <c r="C58" s="15"/>
      <c r="D58" s="15"/>
      <c r="E58" s="15"/>
      <c r="F58" s="87"/>
      <c r="G58" s="69"/>
      <c r="H58" s="88">
        <f>F58-E58</f>
        <v>0</v>
      </c>
      <c r="I58" s="88">
        <f>H58/365</f>
        <v>0</v>
      </c>
      <c r="J58" s="58"/>
      <c r="K58" s="5"/>
      <c r="L58" s="5"/>
      <c r="M58" s="5"/>
      <c r="N58" s="5"/>
      <c r="O58" s="5"/>
      <c r="P58" s="5"/>
      <c r="Q58" s="5"/>
      <c r="R58" s="5"/>
      <c r="S58" s="5"/>
      <c r="T58" s="5"/>
      <c r="U58" s="5"/>
      <c r="V58" s="5"/>
      <c r="W58" s="5"/>
      <c r="X58" s="5"/>
      <c r="Y58" s="5"/>
      <c r="Z58" s="5"/>
    </row>
    <row r="59" ht="27.75" customHeight="1">
      <c r="A59" s="5"/>
      <c r="B59" s="15"/>
      <c r="C59" s="15"/>
      <c r="D59" s="15"/>
      <c r="E59" s="15"/>
      <c r="F59" s="87"/>
      <c r="G59" s="69"/>
      <c r="H59" s="58"/>
      <c r="I59" s="58"/>
      <c r="J59" s="58"/>
      <c r="K59" s="5"/>
      <c r="L59" s="5"/>
      <c r="M59" s="5"/>
      <c r="N59" s="5"/>
      <c r="O59" s="5"/>
      <c r="P59" s="5"/>
      <c r="Q59" s="5"/>
      <c r="R59" s="5"/>
      <c r="S59" s="5"/>
      <c r="T59" s="5"/>
      <c r="U59" s="5"/>
      <c r="V59" s="5"/>
      <c r="W59" s="5"/>
      <c r="X59" s="5"/>
      <c r="Y59" s="5"/>
      <c r="Z59" s="5"/>
    </row>
    <row r="60" ht="27.75" customHeight="1">
      <c r="A60" s="5"/>
      <c r="B60" s="15"/>
      <c r="C60" s="15"/>
      <c r="D60" s="15"/>
      <c r="E60" s="15"/>
      <c r="F60" s="87"/>
      <c r="G60" s="69"/>
      <c r="H60" s="58"/>
      <c r="I60" s="58"/>
      <c r="J60" s="58"/>
      <c r="K60" s="5"/>
      <c r="L60" s="5"/>
      <c r="M60" s="5"/>
      <c r="N60" s="5"/>
      <c r="O60" s="5"/>
      <c r="P60" s="5"/>
      <c r="Q60" s="5"/>
      <c r="R60" s="5"/>
      <c r="S60" s="5"/>
      <c r="T60" s="5"/>
      <c r="U60" s="5"/>
      <c r="V60" s="5"/>
      <c r="W60" s="5"/>
      <c r="X60" s="5"/>
      <c r="Y60" s="5"/>
      <c r="Z60" s="5"/>
    </row>
    <row r="61" ht="27.75" customHeight="1">
      <c r="A61" s="5"/>
      <c r="B61" s="15"/>
      <c r="C61" s="15"/>
      <c r="D61" s="15"/>
      <c r="E61" s="15"/>
      <c r="F61" s="87"/>
      <c r="G61" s="69"/>
      <c r="H61" s="58"/>
      <c r="I61" s="58"/>
      <c r="J61" s="58"/>
      <c r="K61" s="5"/>
      <c r="L61" s="5"/>
      <c r="M61" s="5"/>
      <c r="N61" s="5"/>
      <c r="O61" s="5"/>
      <c r="P61" s="5"/>
      <c r="Q61" s="5"/>
      <c r="R61" s="5"/>
      <c r="S61" s="5"/>
      <c r="T61" s="5"/>
      <c r="U61" s="5"/>
      <c r="V61" s="5"/>
      <c r="W61" s="5"/>
      <c r="X61" s="5"/>
      <c r="Y61" s="5"/>
      <c r="Z61" s="5"/>
    </row>
    <row r="62" ht="27.75" customHeight="1">
      <c r="A62" s="5"/>
      <c r="B62" s="14" t="s">
        <v>110</v>
      </c>
      <c r="E62" s="6" t="s">
        <v>16</v>
      </c>
      <c r="F62" s="28" t="str">
        <f>CONCATENATE(H67,"년")</f>
        <v>0년</v>
      </c>
      <c r="G62" s="12"/>
      <c r="H62" s="58"/>
      <c r="I62" s="58"/>
      <c r="J62" s="58"/>
      <c r="K62" s="5"/>
      <c r="L62" s="5"/>
      <c r="M62" s="5"/>
      <c r="N62" s="5"/>
      <c r="O62" s="5"/>
      <c r="P62" s="5"/>
      <c r="Q62" s="5"/>
      <c r="R62" s="5"/>
      <c r="S62" s="5"/>
      <c r="T62" s="5"/>
      <c r="U62" s="5"/>
      <c r="V62" s="5"/>
      <c r="W62" s="5"/>
      <c r="X62" s="5"/>
      <c r="Y62" s="5"/>
      <c r="Z62" s="5"/>
    </row>
    <row r="63" ht="27.75" customHeight="1">
      <c r="A63" s="5"/>
      <c r="B63" s="47" t="s">
        <v>111</v>
      </c>
      <c r="C63" s="9"/>
      <c r="D63" s="6" t="s">
        <v>112</v>
      </c>
      <c r="E63" s="6" t="s">
        <v>38</v>
      </c>
      <c r="F63" s="6" t="s">
        <v>113</v>
      </c>
      <c r="G63" s="12"/>
      <c r="H63" s="29" t="s">
        <v>22</v>
      </c>
      <c r="I63" s="58"/>
      <c r="J63" s="58"/>
      <c r="K63" s="5"/>
      <c r="L63" s="5"/>
      <c r="M63" s="5"/>
      <c r="N63" s="5"/>
      <c r="O63" s="5"/>
      <c r="P63" s="5"/>
      <c r="Q63" s="5"/>
      <c r="R63" s="5"/>
      <c r="S63" s="5"/>
      <c r="T63" s="5"/>
      <c r="U63" s="5"/>
      <c r="V63" s="5"/>
      <c r="W63" s="5"/>
      <c r="X63" s="5"/>
      <c r="Y63" s="5"/>
      <c r="Z63" s="5"/>
    </row>
    <row r="64" ht="27.75" customHeight="1">
      <c r="A64" s="5"/>
      <c r="B64" s="89" t="s">
        <v>114</v>
      </c>
      <c r="C64" s="9"/>
      <c r="D64" s="53" t="s">
        <v>115</v>
      </c>
      <c r="E64" s="53" t="s">
        <v>116</v>
      </c>
      <c r="F64" s="33" t="s">
        <v>117</v>
      </c>
      <c r="G64" s="90"/>
      <c r="H64" s="58">
        <f t="shared" ref="H64:H66" si="5">IF(F64="의사, 변호사 또는 회계사",10,IF(F64="건축사 또는 기술사(산업기사X)",10,IF(F64="기사(산업기사X)",1,0)))</f>
        <v>0</v>
      </c>
      <c r="I64" s="58"/>
      <c r="J64" s="58"/>
      <c r="K64" s="5"/>
      <c r="L64" s="5"/>
      <c r="M64" s="5"/>
      <c r="N64" s="5"/>
      <c r="O64" s="5"/>
      <c r="P64" s="5"/>
      <c r="Q64" s="5"/>
      <c r="R64" s="5"/>
      <c r="S64" s="5"/>
      <c r="T64" s="5"/>
      <c r="U64" s="5"/>
      <c r="V64" s="5"/>
      <c r="W64" s="5"/>
      <c r="X64" s="5"/>
      <c r="Y64" s="5"/>
      <c r="Z64" s="5"/>
    </row>
    <row r="65" ht="27.75" customHeight="1">
      <c r="A65" s="5"/>
      <c r="B65" s="91" t="s">
        <v>118</v>
      </c>
      <c r="C65" s="9"/>
      <c r="D65" s="53" t="s">
        <v>115</v>
      </c>
      <c r="E65" s="55" t="s">
        <v>119</v>
      </c>
      <c r="F65" s="33" t="s">
        <v>117</v>
      </c>
      <c r="G65" s="90"/>
      <c r="H65" s="58">
        <f t="shared" si="5"/>
        <v>0</v>
      </c>
      <c r="I65" s="58"/>
      <c r="J65" s="58"/>
      <c r="K65" s="5"/>
      <c r="L65" s="5"/>
      <c r="M65" s="5"/>
      <c r="N65" s="5"/>
      <c r="O65" s="5"/>
      <c r="P65" s="5"/>
      <c r="Q65" s="5"/>
      <c r="R65" s="5"/>
      <c r="S65" s="5"/>
      <c r="T65" s="5"/>
      <c r="U65" s="5"/>
      <c r="V65" s="5"/>
      <c r="W65" s="5"/>
      <c r="X65" s="5"/>
      <c r="Y65" s="5"/>
      <c r="Z65" s="5"/>
    </row>
    <row r="66" ht="27.75" customHeight="1">
      <c r="A66" s="5"/>
      <c r="B66" s="91"/>
      <c r="C66" s="9"/>
      <c r="D66" s="92"/>
      <c r="E66" s="55"/>
      <c r="F66" s="33"/>
      <c r="G66" s="90"/>
      <c r="H66" s="58">
        <f t="shared" si="5"/>
        <v>0</v>
      </c>
      <c r="I66" s="58"/>
      <c r="J66" s="58"/>
      <c r="K66" s="5"/>
      <c r="L66" s="5"/>
      <c r="M66" s="5"/>
      <c r="N66" s="5"/>
      <c r="O66" s="5"/>
      <c r="P66" s="5"/>
      <c r="Q66" s="5"/>
      <c r="R66" s="5"/>
      <c r="S66" s="5"/>
      <c r="T66" s="5"/>
      <c r="U66" s="5"/>
      <c r="V66" s="5"/>
      <c r="W66" s="5"/>
      <c r="X66" s="5"/>
      <c r="Y66" s="5"/>
      <c r="Z66" s="5"/>
    </row>
    <row r="67" ht="27.75" customHeight="1">
      <c r="A67" s="5"/>
      <c r="B67" s="56"/>
      <c r="C67" s="57"/>
      <c r="D67" s="16"/>
      <c r="E67" s="16"/>
      <c r="F67" s="16"/>
      <c r="G67" s="13"/>
      <c r="H67" s="58">
        <f>SUM(H64:H66)</f>
        <v>0</v>
      </c>
      <c r="I67" s="58"/>
      <c r="J67" s="58"/>
      <c r="K67" s="5"/>
      <c r="L67" s="5"/>
      <c r="M67" s="5"/>
      <c r="N67" s="5"/>
      <c r="O67" s="5"/>
      <c r="P67" s="5"/>
      <c r="Q67" s="5"/>
      <c r="R67" s="5"/>
      <c r="S67" s="5"/>
      <c r="T67" s="5"/>
      <c r="U67" s="5"/>
      <c r="V67" s="5"/>
      <c r="W67" s="5"/>
      <c r="X67" s="5"/>
      <c r="Y67" s="5"/>
      <c r="Z67" s="5"/>
    </row>
    <row r="68" ht="27.75" customHeight="1">
      <c r="A68" s="5"/>
      <c r="B68" s="16" t="s">
        <v>120</v>
      </c>
      <c r="C68" s="16"/>
      <c r="D68" s="16"/>
      <c r="E68" s="6" t="s">
        <v>121</v>
      </c>
      <c r="F68" s="28" t="str">
        <f>CONCATENATE(ROUNDDOWN(I78,0),"년 ",ROUNDDOWN(J78,0),"개월")</f>
        <v>0년 0개월</v>
      </c>
      <c r="G68" s="12"/>
      <c r="H68" s="5"/>
      <c r="I68" s="5"/>
      <c r="J68" s="5"/>
      <c r="K68" s="5"/>
      <c r="L68" s="5"/>
      <c r="M68" s="5"/>
      <c r="N68" s="5"/>
      <c r="O68" s="5"/>
      <c r="P68" s="5"/>
      <c r="Q68" s="5"/>
      <c r="R68" s="5"/>
      <c r="S68" s="5"/>
      <c r="T68" s="5"/>
      <c r="U68" s="5"/>
      <c r="V68" s="5"/>
      <c r="W68" s="5"/>
      <c r="X68" s="5"/>
      <c r="Y68" s="5"/>
      <c r="Z68" s="5"/>
    </row>
    <row r="69" ht="27.75" customHeight="1">
      <c r="A69" s="5"/>
      <c r="B69" s="47" t="s">
        <v>122</v>
      </c>
      <c r="C69" s="9"/>
      <c r="D69" s="6" t="s">
        <v>123</v>
      </c>
      <c r="E69" s="6" t="s">
        <v>124</v>
      </c>
      <c r="F69" s="6" t="s">
        <v>125</v>
      </c>
      <c r="G69" s="12"/>
      <c r="H69" s="29" t="s">
        <v>126</v>
      </c>
      <c r="I69" s="29" t="s">
        <v>65</v>
      </c>
      <c r="J69" s="29" t="s">
        <v>66</v>
      </c>
      <c r="K69" s="5"/>
      <c r="L69" s="5"/>
      <c r="M69" s="5"/>
      <c r="N69" s="5"/>
      <c r="O69" s="5"/>
      <c r="P69" s="5"/>
      <c r="Q69" s="5"/>
      <c r="R69" s="5"/>
      <c r="S69" s="5"/>
      <c r="T69" s="5"/>
      <c r="U69" s="5"/>
      <c r="V69" s="5"/>
      <c r="W69" s="5"/>
      <c r="X69" s="5"/>
      <c r="Y69" s="5"/>
      <c r="Z69" s="5"/>
    </row>
    <row r="70" ht="27.75" customHeight="1">
      <c r="A70" s="1"/>
      <c r="B70" s="91" t="s">
        <v>127</v>
      </c>
      <c r="C70" s="9"/>
      <c r="D70" s="93" t="s">
        <v>128</v>
      </c>
      <c r="E70" s="55">
        <v>45601.0</v>
      </c>
      <c r="F70" s="55">
        <v>45625.0</v>
      </c>
      <c r="G70" s="40"/>
      <c r="H70" s="17">
        <f t="shared" ref="H70:H77" si="6">IF(F70-E70&gt;180, F70-E70, 0)</f>
        <v>0</v>
      </c>
      <c r="I70" s="17">
        <f t="shared" ref="I70:I77" si="7">H70/365</f>
        <v>0</v>
      </c>
      <c r="J70" s="17"/>
      <c r="K70" s="1"/>
    </row>
    <row r="71" ht="27.75" customHeight="1">
      <c r="A71" s="1"/>
      <c r="B71" s="89" t="s">
        <v>129</v>
      </c>
      <c r="C71" s="9"/>
      <c r="D71" s="94" t="s">
        <v>130</v>
      </c>
      <c r="E71" s="95">
        <v>44075.0</v>
      </c>
      <c r="F71" s="95">
        <v>44227.0</v>
      </c>
      <c r="G71" s="40"/>
      <c r="H71" s="17">
        <f t="shared" si="6"/>
        <v>0</v>
      </c>
      <c r="I71" s="17">
        <f t="shared" si="7"/>
        <v>0</v>
      </c>
      <c r="J71" s="17"/>
      <c r="K71" s="1"/>
    </row>
    <row r="72" ht="27.75" customHeight="1">
      <c r="A72" s="1"/>
      <c r="B72" s="89" t="s">
        <v>131</v>
      </c>
      <c r="C72" s="9"/>
      <c r="D72" s="93" t="s">
        <v>128</v>
      </c>
      <c r="E72" s="95">
        <v>43770.0</v>
      </c>
      <c r="F72" s="95">
        <v>43799.0</v>
      </c>
      <c r="G72" s="40"/>
      <c r="H72" s="17">
        <f t="shared" si="6"/>
        <v>0</v>
      </c>
      <c r="I72" s="17">
        <f t="shared" si="7"/>
        <v>0</v>
      </c>
      <c r="J72" s="17"/>
      <c r="K72" s="1"/>
    </row>
    <row r="73" ht="27.75" customHeight="1">
      <c r="A73" s="1"/>
      <c r="B73" s="7"/>
      <c r="C73" s="9"/>
      <c r="D73" s="92"/>
      <c r="E73" s="55"/>
      <c r="F73" s="55"/>
      <c r="G73" s="40"/>
      <c r="H73" s="17">
        <f t="shared" si="6"/>
        <v>0</v>
      </c>
      <c r="I73" s="17">
        <f t="shared" si="7"/>
        <v>0</v>
      </c>
      <c r="J73" s="17"/>
      <c r="K73" s="1"/>
    </row>
    <row r="74" ht="27.75" customHeight="1">
      <c r="A74" s="1"/>
      <c r="B74" s="7"/>
      <c r="C74" s="9"/>
      <c r="D74" s="96"/>
      <c r="E74" s="55"/>
      <c r="F74" s="55"/>
      <c r="G74" s="40"/>
      <c r="H74" s="17">
        <f t="shared" si="6"/>
        <v>0</v>
      </c>
      <c r="I74" s="17">
        <f t="shared" si="7"/>
        <v>0</v>
      </c>
      <c r="J74" s="17"/>
      <c r="K74" s="1"/>
    </row>
    <row r="75" ht="27.75" customHeight="1">
      <c r="A75" s="1"/>
      <c r="B75" s="7"/>
      <c r="C75" s="9"/>
      <c r="D75" s="96"/>
      <c r="E75" s="55"/>
      <c r="F75" s="55"/>
      <c r="G75" s="40"/>
      <c r="H75" s="17">
        <f t="shared" si="6"/>
        <v>0</v>
      </c>
      <c r="I75" s="17">
        <f t="shared" si="7"/>
        <v>0</v>
      </c>
      <c r="J75" s="17"/>
      <c r="K75" s="1"/>
    </row>
    <row r="76" ht="26.25" customHeight="1">
      <c r="A76" s="1"/>
      <c r="B76" s="97"/>
      <c r="C76" s="9"/>
      <c r="D76" s="96"/>
      <c r="E76" s="98"/>
      <c r="F76" s="98"/>
      <c r="G76" s="40"/>
      <c r="H76" s="17">
        <f t="shared" si="6"/>
        <v>0</v>
      </c>
      <c r="I76" s="17">
        <f t="shared" si="7"/>
        <v>0</v>
      </c>
      <c r="J76" s="17"/>
      <c r="K76" s="1"/>
    </row>
    <row r="77" ht="27.75" customHeight="1">
      <c r="A77" s="1"/>
      <c r="B77" s="91"/>
      <c r="C77" s="9"/>
      <c r="D77" s="99"/>
      <c r="E77" s="100"/>
      <c r="F77" s="100"/>
      <c r="G77" s="101"/>
      <c r="H77" s="17">
        <f t="shared" si="6"/>
        <v>0</v>
      </c>
      <c r="I77" s="17">
        <f t="shared" si="7"/>
        <v>0</v>
      </c>
      <c r="J77" s="17"/>
      <c r="K77" s="1"/>
    </row>
    <row r="78" ht="27.75" customHeight="1">
      <c r="A78" s="1"/>
      <c r="B78" s="102"/>
      <c r="C78" s="102"/>
      <c r="D78" s="102"/>
      <c r="E78" s="102"/>
      <c r="F78" s="102"/>
      <c r="G78" s="2"/>
      <c r="H78" s="17">
        <f t="shared" ref="H78:I78" si="8">SUM(H70:H77)</f>
        <v>0</v>
      </c>
      <c r="I78" s="17">
        <f t="shared" si="8"/>
        <v>0</v>
      </c>
      <c r="J78" s="17">
        <f>I78-ROUNDDOWN(I78,0)</f>
        <v>0</v>
      </c>
      <c r="K78" s="1"/>
    </row>
    <row r="79" ht="27.75" customHeight="1">
      <c r="A79" s="1"/>
      <c r="B79" s="14" t="s">
        <v>132</v>
      </c>
      <c r="C79" s="15"/>
      <c r="D79" s="15"/>
      <c r="E79" s="15"/>
      <c r="F79" s="16"/>
      <c r="G79" s="13"/>
      <c r="H79" s="1"/>
      <c r="I79" s="1"/>
      <c r="J79" s="1"/>
      <c r="K79" s="1"/>
    </row>
    <row r="80" ht="27.75" customHeight="1">
      <c r="A80" s="1"/>
      <c r="B80" s="6" t="s">
        <v>133</v>
      </c>
      <c r="C80" s="6" t="s">
        <v>134</v>
      </c>
      <c r="D80" s="6" t="s">
        <v>135</v>
      </c>
      <c r="E80" s="6" t="s">
        <v>136</v>
      </c>
      <c r="F80" s="6" t="s">
        <v>137</v>
      </c>
      <c r="G80" s="12"/>
      <c r="H80" s="1"/>
      <c r="I80" s="1"/>
      <c r="J80" s="1"/>
      <c r="K80" s="1"/>
    </row>
    <row r="81" ht="27.75" customHeight="1">
      <c r="A81" s="1"/>
      <c r="B81" s="103" t="s">
        <v>138</v>
      </c>
      <c r="C81" s="104" t="s">
        <v>139</v>
      </c>
      <c r="D81" s="105" t="s">
        <v>140</v>
      </c>
      <c r="E81" s="105" t="s">
        <v>141</v>
      </c>
      <c r="F81" s="105" t="s">
        <v>142</v>
      </c>
      <c r="G81" s="76"/>
      <c r="H81" s="1"/>
      <c r="I81" s="1"/>
      <c r="J81" s="1"/>
      <c r="K81" s="1"/>
    </row>
    <row r="82" ht="27.75" customHeight="1">
      <c r="A82" s="1"/>
      <c r="B82" s="92"/>
      <c r="C82" s="92"/>
      <c r="D82" s="92"/>
      <c r="E82" s="55"/>
      <c r="F82" s="55"/>
      <c r="G82" s="76"/>
      <c r="H82" s="1"/>
      <c r="I82" s="1"/>
      <c r="J82" s="1"/>
      <c r="K82" s="1"/>
    </row>
    <row r="83" ht="27.75" customHeight="1">
      <c r="A83" s="1"/>
      <c r="B83" s="92"/>
      <c r="C83" s="92"/>
      <c r="D83" s="92"/>
      <c r="E83" s="92"/>
      <c r="F83" s="92"/>
      <c r="G83" s="106"/>
      <c r="H83" s="1"/>
      <c r="I83" s="1"/>
      <c r="J83" s="1"/>
      <c r="K83" s="1"/>
    </row>
    <row r="84" ht="27.75" customHeight="1">
      <c r="A84" s="1"/>
      <c r="B84" s="28"/>
      <c r="C84" s="92"/>
      <c r="D84" s="92"/>
      <c r="E84" s="92"/>
      <c r="F84" s="92"/>
      <c r="G84" s="106"/>
      <c r="H84" s="1"/>
      <c r="I84" s="1"/>
      <c r="J84" s="1"/>
      <c r="K84" s="1"/>
    </row>
    <row r="85" ht="27.75" customHeight="1">
      <c r="A85" s="1"/>
      <c r="B85" s="28"/>
      <c r="C85" s="28"/>
      <c r="D85" s="28"/>
      <c r="E85" s="28"/>
      <c r="F85" s="107"/>
      <c r="G85" s="13"/>
      <c r="H85" s="1"/>
      <c r="I85" s="1"/>
      <c r="J85" s="1"/>
      <c r="K85" s="1"/>
    </row>
    <row r="86" ht="27.75" customHeight="1">
      <c r="A86" s="1"/>
      <c r="B86" s="102" t="s">
        <v>143</v>
      </c>
      <c r="C86" s="102"/>
      <c r="D86" s="102"/>
      <c r="E86" s="102"/>
      <c r="F86" s="102"/>
      <c r="G86" s="2"/>
      <c r="H86" s="1"/>
      <c r="I86" s="1"/>
      <c r="J86" s="1"/>
      <c r="K86" s="1"/>
    </row>
    <row r="87" ht="27.75" customHeight="1">
      <c r="A87" s="1"/>
      <c r="B87" s="102"/>
      <c r="C87" s="102"/>
      <c r="D87" s="102"/>
      <c r="E87" s="102"/>
      <c r="F87" s="102"/>
      <c r="G87" s="2"/>
      <c r="H87" s="1"/>
      <c r="I87" s="1"/>
      <c r="J87" s="1"/>
      <c r="K87" s="1"/>
    </row>
    <row r="88" ht="27.75" customHeight="1">
      <c r="A88" s="1"/>
      <c r="B88" s="14" t="s">
        <v>144</v>
      </c>
      <c r="C88" s="15"/>
      <c r="D88" s="15"/>
      <c r="E88" s="15"/>
      <c r="F88" s="16"/>
      <c r="G88" s="13"/>
      <c r="H88" s="1"/>
      <c r="I88" s="1"/>
      <c r="J88" s="1"/>
      <c r="K88" s="1"/>
    </row>
    <row r="89" ht="375.75" customHeight="1">
      <c r="A89" s="1"/>
      <c r="B89" s="108" t="s">
        <v>145</v>
      </c>
      <c r="C89" s="109"/>
      <c r="D89" s="8"/>
      <c r="E89" s="8"/>
      <c r="F89" s="9"/>
      <c r="G89" s="106"/>
      <c r="H89" s="1"/>
      <c r="I89" s="1"/>
      <c r="J89" s="1"/>
      <c r="K89" s="1"/>
    </row>
    <row r="90" ht="27.75" customHeight="1">
      <c r="A90" s="1"/>
      <c r="B90" s="102"/>
      <c r="C90" s="102"/>
      <c r="D90" s="102"/>
      <c r="E90" s="102"/>
      <c r="F90" s="102"/>
      <c r="G90" s="2"/>
      <c r="H90" s="1"/>
      <c r="I90" s="1"/>
      <c r="J90" s="1"/>
      <c r="K90" s="1"/>
    </row>
    <row r="91" ht="27.75" customHeight="1">
      <c r="F91" s="2"/>
      <c r="G91" s="2"/>
    </row>
    <row r="92" ht="27.75" customHeight="1">
      <c r="F92" s="2"/>
      <c r="G92" s="2"/>
    </row>
    <row r="93" ht="27.75" customHeight="1">
      <c r="F93" s="2"/>
      <c r="G93" s="2"/>
    </row>
    <row r="94">
      <c r="F94" s="2"/>
      <c r="G94" s="2"/>
    </row>
    <row r="95">
      <c r="F95" s="2"/>
      <c r="G95" s="2"/>
    </row>
    <row r="96">
      <c r="F96" s="2"/>
      <c r="G96" s="2"/>
    </row>
    <row r="97">
      <c r="F97" s="2"/>
      <c r="G97" s="2"/>
    </row>
    <row r="98">
      <c r="F98" s="2"/>
      <c r="G98" s="2"/>
    </row>
    <row r="99">
      <c r="F99" s="2"/>
      <c r="G99" s="2"/>
    </row>
    <row r="100">
      <c r="F100" s="2"/>
      <c r="G100" s="2"/>
    </row>
    <row r="101">
      <c r="F101" s="2"/>
      <c r="G101" s="2"/>
    </row>
    <row r="102">
      <c r="F102" s="2"/>
      <c r="G102" s="2"/>
    </row>
    <row r="103">
      <c r="F103" s="2"/>
      <c r="G103" s="2"/>
    </row>
    <row r="104">
      <c r="F104" s="2"/>
      <c r="G104" s="2"/>
    </row>
    <row r="105">
      <c r="F105" s="2"/>
      <c r="G105" s="2"/>
    </row>
    <row r="106">
      <c r="F106" s="2"/>
      <c r="G106" s="2"/>
    </row>
    <row r="107">
      <c r="F107" s="2"/>
      <c r="G107" s="2"/>
    </row>
    <row r="108">
      <c r="F108" s="2"/>
      <c r="G108" s="2"/>
    </row>
    <row r="109">
      <c r="F109" s="2"/>
      <c r="G109" s="2"/>
    </row>
    <row r="110">
      <c r="F110" s="2"/>
      <c r="G110" s="2"/>
    </row>
    <row r="111">
      <c r="F111" s="2"/>
      <c r="G111" s="2"/>
    </row>
    <row r="112">
      <c r="F112" s="2"/>
      <c r="G112" s="2"/>
    </row>
    <row r="113">
      <c r="F113" s="2"/>
      <c r="G113" s="2"/>
    </row>
    <row r="114">
      <c r="F114" s="2"/>
      <c r="G114" s="2"/>
    </row>
    <row r="115">
      <c r="F115" s="2"/>
      <c r="G115" s="2"/>
    </row>
    <row r="116">
      <c r="F116" s="2"/>
      <c r="G116" s="2"/>
    </row>
    <row r="117">
      <c r="F117" s="2"/>
      <c r="G117" s="2"/>
    </row>
    <row r="118">
      <c r="F118" s="2"/>
      <c r="G118" s="2"/>
    </row>
    <row r="119">
      <c r="F119" s="2"/>
      <c r="G119" s="2"/>
    </row>
    <row r="120">
      <c r="F120" s="2"/>
      <c r="G120" s="2"/>
    </row>
    <row r="121">
      <c r="F121" s="2"/>
      <c r="G121" s="2"/>
    </row>
    <row r="122">
      <c r="F122" s="2"/>
      <c r="G122" s="2"/>
    </row>
    <row r="123">
      <c r="F123" s="2"/>
      <c r="G123" s="2"/>
    </row>
    <row r="124">
      <c r="F124" s="2"/>
      <c r="G124" s="2"/>
    </row>
    <row r="125">
      <c r="F125" s="2"/>
      <c r="G125" s="2"/>
    </row>
    <row r="126">
      <c r="F126" s="2"/>
      <c r="G126" s="2"/>
    </row>
    <row r="127">
      <c r="F127" s="2"/>
      <c r="G127" s="2"/>
    </row>
    <row r="128">
      <c r="F128" s="2"/>
      <c r="G128" s="2"/>
    </row>
    <row r="129">
      <c r="F129" s="2"/>
      <c r="G129" s="2"/>
    </row>
    <row r="130">
      <c r="F130" s="2"/>
      <c r="G130" s="2"/>
    </row>
    <row r="131">
      <c r="F131" s="2"/>
      <c r="G131" s="2"/>
    </row>
    <row r="132">
      <c r="F132" s="2"/>
      <c r="G132" s="2"/>
    </row>
    <row r="133">
      <c r="F133" s="2"/>
      <c r="G133" s="2"/>
    </row>
    <row r="134">
      <c r="F134" s="2"/>
      <c r="G134" s="2"/>
    </row>
    <row r="135">
      <c r="F135" s="2"/>
      <c r="G135" s="2"/>
    </row>
    <row r="136">
      <c r="F136" s="2"/>
      <c r="G136" s="2"/>
    </row>
    <row r="137">
      <c r="F137" s="2"/>
      <c r="G137" s="2"/>
    </row>
    <row r="138">
      <c r="F138" s="2"/>
      <c r="G138" s="2"/>
    </row>
    <row r="139">
      <c r="F139" s="2"/>
      <c r="G139" s="2"/>
    </row>
    <row r="140">
      <c r="F140" s="2"/>
      <c r="G140" s="2"/>
    </row>
    <row r="141">
      <c r="F141" s="2"/>
      <c r="G141" s="2"/>
    </row>
    <row r="142">
      <c r="F142" s="2"/>
      <c r="G142" s="2"/>
    </row>
    <row r="143">
      <c r="F143" s="2"/>
      <c r="G143" s="2"/>
    </row>
    <row r="144">
      <c r="F144" s="2"/>
      <c r="G144" s="2"/>
    </row>
    <row r="145">
      <c r="F145" s="2"/>
      <c r="G145" s="2"/>
    </row>
    <row r="146">
      <c r="F146" s="2"/>
      <c r="G146" s="2"/>
    </row>
    <row r="147">
      <c r="F147" s="2"/>
      <c r="G147" s="2"/>
    </row>
    <row r="148">
      <c r="F148" s="2"/>
      <c r="G148" s="2"/>
    </row>
    <row r="149">
      <c r="F149" s="2"/>
      <c r="G149" s="2"/>
    </row>
    <row r="150">
      <c r="F150" s="2"/>
      <c r="G150" s="2"/>
    </row>
    <row r="151">
      <c r="F151" s="2"/>
      <c r="G151" s="2"/>
    </row>
    <row r="152">
      <c r="F152" s="2"/>
      <c r="G152" s="2"/>
    </row>
    <row r="153">
      <c r="F153" s="2"/>
      <c r="G153" s="2"/>
    </row>
    <row r="154">
      <c r="F154" s="2"/>
      <c r="G154" s="2"/>
    </row>
    <row r="155">
      <c r="F155" s="2"/>
      <c r="G155" s="2"/>
    </row>
    <row r="156">
      <c r="F156" s="2"/>
      <c r="G156" s="2"/>
    </row>
    <row r="157">
      <c r="F157" s="2"/>
      <c r="G157" s="2"/>
    </row>
    <row r="158">
      <c r="F158" s="2"/>
      <c r="G158" s="2"/>
    </row>
    <row r="159">
      <c r="F159" s="2"/>
      <c r="G159" s="2"/>
    </row>
    <row r="160">
      <c r="F160" s="2"/>
      <c r="G160" s="2"/>
    </row>
    <row r="161">
      <c r="F161" s="2"/>
      <c r="G161" s="2"/>
    </row>
    <row r="162">
      <c r="F162" s="2"/>
      <c r="G162" s="2"/>
    </row>
    <row r="163">
      <c r="F163" s="2"/>
      <c r="G163" s="2"/>
    </row>
    <row r="164">
      <c r="F164" s="2"/>
      <c r="G164" s="2"/>
    </row>
    <row r="165">
      <c r="F165" s="2"/>
      <c r="G165" s="2"/>
    </row>
    <row r="166">
      <c r="F166" s="2"/>
      <c r="G166" s="2"/>
    </row>
    <row r="167">
      <c r="F167" s="2"/>
      <c r="G167" s="2"/>
    </row>
    <row r="168">
      <c r="F168" s="2"/>
      <c r="G168" s="2"/>
    </row>
    <row r="169">
      <c r="F169" s="2"/>
      <c r="G169" s="2"/>
    </row>
    <row r="170">
      <c r="F170" s="2"/>
      <c r="G170" s="2"/>
    </row>
    <row r="171">
      <c r="F171" s="2"/>
      <c r="G171" s="2"/>
    </row>
    <row r="172">
      <c r="F172" s="2"/>
      <c r="G172" s="2"/>
    </row>
    <row r="173">
      <c r="F173" s="2"/>
      <c r="G173" s="2"/>
    </row>
    <row r="174">
      <c r="F174" s="2"/>
      <c r="G174" s="2"/>
    </row>
    <row r="175">
      <c r="F175" s="2"/>
      <c r="G175" s="2"/>
    </row>
    <row r="176">
      <c r="F176" s="2"/>
      <c r="G176" s="2"/>
    </row>
    <row r="177">
      <c r="F177" s="2"/>
      <c r="G177" s="2"/>
    </row>
    <row r="178">
      <c r="F178" s="2"/>
      <c r="G178" s="2"/>
    </row>
    <row r="179">
      <c r="F179" s="2"/>
      <c r="G179" s="2"/>
    </row>
    <row r="180">
      <c r="F180" s="2"/>
      <c r="G180" s="2"/>
    </row>
    <row r="181">
      <c r="F181" s="2"/>
      <c r="G181" s="2"/>
    </row>
    <row r="182">
      <c r="F182" s="2"/>
      <c r="G182" s="2"/>
    </row>
    <row r="183">
      <c r="F183" s="2"/>
      <c r="G183" s="2"/>
    </row>
    <row r="184">
      <c r="F184" s="2"/>
      <c r="G184" s="2"/>
    </row>
    <row r="185">
      <c r="F185" s="2"/>
      <c r="G185" s="2"/>
    </row>
    <row r="186">
      <c r="F186" s="2"/>
      <c r="G186" s="2"/>
    </row>
    <row r="187">
      <c r="F187" s="2"/>
      <c r="G187" s="2"/>
    </row>
    <row r="188">
      <c r="F188" s="2"/>
      <c r="G188" s="2"/>
    </row>
    <row r="189">
      <c r="F189" s="2"/>
      <c r="G189" s="2"/>
    </row>
    <row r="190">
      <c r="F190" s="2"/>
      <c r="G190" s="2"/>
    </row>
    <row r="191">
      <c r="F191" s="2"/>
      <c r="G191" s="2"/>
    </row>
    <row r="192">
      <c r="F192" s="2"/>
      <c r="G192" s="2"/>
    </row>
    <row r="193">
      <c r="F193" s="2"/>
      <c r="G193" s="2"/>
    </row>
    <row r="194">
      <c r="F194" s="2"/>
      <c r="G194" s="2"/>
    </row>
    <row r="195">
      <c r="F195" s="2"/>
      <c r="G195" s="2"/>
    </row>
    <row r="196">
      <c r="F196" s="2"/>
      <c r="G196" s="2"/>
    </row>
    <row r="197">
      <c r="F197" s="2"/>
      <c r="G197" s="2"/>
    </row>
    <row r="198">
      <c r="F198" s="2"/>
      <c r="G198" s="2"/>
    </row>
    <row r="199">
      <c r="F199" s="2"/>
      <c r="G199" s="2"/>
    </row>
    <row r="200">
      <c r="F200" s="2"/>
      <c r="G200" s="2"/>
    </row>
    <row r="201">
      <c r="F201" s="2"/>
      <c r="G201" s="2"/>
    </row>
    <row r="202">
      <c r="F202" s="2"/>
      <c r="G202" s="2"/>
    </row>
    <row r="203">
      <c r="F203" s="2"/>
      <c r="G203" s="2"/>
    </row>
    <row r="204">
      <c r="F204" s="2"/>
      <c r="G204" s="2"/>
    </row>
    <row r="205">
      <c r="F205" s="2"/>
      <c r="G205" s="2"/>
    </row>
    <row r="206">
      <c r="F206" s="2"/>
      <c r="G206" s="2"/>
    </row>
    <row r="207">
      <c r="F207" s="2"/>
      <c r="G207" s="2"/>
    </row>
    <row r="208">
      <c r="F208" s="2"/>
      <c r="G208" s="2"/>
    </row>
    <row r="209">
      <c r="F209" s="2"/>
      <c r="G209" s="2"/>
    </row>
    <row r="210">
      <c r="F210" s="2"/>
      <c r="G210" s="2"/>
    </row>
    <row r="211">
      <c r="F211" s="2"/>
      <c r="G211" s="2"/>
    </row>
    <row r="212">
      <c r="F212" s="2"/>
      <c r="G212" s="2"/>
    </row>
    <row r="213">
      <c r="F213" s="2"/>
      <c r="G213" s="2"/>
    </row>
    <row r="214">
      <c r="F214" s="2"/>
      <c r="G214" s="2"/>
    </row>
    <row r="215">
      <c r="F215" s="2"/>
      <c r="G215" s="2"/>
    </row>
    <row r="216">
      <c r="F216" s="2"/>
      <c r="G216" s="2"/>
    </row>
    <row r="217">
      <c r="F217" s="2"/>
      <c r="G217" s="2"/>
    </row>
    <row r="218">
      <c r="F218" s="2"/>
      <c r="G218" s="2"/>
    </row>
    <row r="219">
      <c r="F219" s="2"/>
      <c r="G219" s="2"/>
    </row>
    <row r="220">
      <c r="F220" s="2"/>
      <c r="G220" s="2"/>
    </row>
    <row r="221">
      <c r="F221" s="2"/>
      <c r="G221" s="2"/>
    </row>
    <row r="222">
      <c r="F222" s="2"/>
      <c r="G222" s="2"/>
    </row>
    <row r="223">
      <c r="F223" s="2"/>
      <c r="G223" s="2"/>
    </row>
    <row r="224">
      <c r="F224" s="2"/>
      <c r="G224" s="2"/>
    </row>
    <row r="225">
      <c r="F225" s="2"/>
      <c r="G225" s="2"/>
    </row>
    <row r="226">
      <c r="F226" s="2"/>
      <c r="G226" s="2"/>
    </row>
    <row r="227">
      <c r="F227" s="2"/>
      <c r="G227" s="2"/>
    </row>
    <row r="228">
      <c r="F228" s="2"/>
      <c r="G228" s="2"/>
    </row>
    <row r="229">
      <c r="F229" s="2"/>
      <c r="G229" s="2"/>
    </row>
    <row r="230">
      <c r="F230" s="2"/>
      <c r="G230" s="2"/>
    </row>
    <row r="231">
      <c r="F231" s="2"/>
      <c r="G231" s="2"/>
    </row>
    <row r="232">
      <c r="F232" s="2"/>
      <c r="G232" s="2"/>
    </row>
    <row r="233">
      <c r="F233" s="2"/>
      <c r="G233" s="2"/>
    </row>
    <row r="234">
      <c r="F234" s="2"/>
      <c r="G234" s="2"/>
    </row>
    <row r="235">
      <c r="F235" s="2"/>
      <c r="G235" s="2"/>
    </row>
    <row r="236">
      <c r="F236" s="2"/>
      <c r="G236" s="2"/>
    </row>
    <row r="237">
      <c r="F237" s="2"/>
      <c r="G237" s="2"/>
    </row>
    <row r="238">
      <c r="F238" s="2"/>
      <c r="G238" s="2"/>
    </row>
    <row r="239">
      <c r="F239" s="2"/>
      <c r="G239" s="2"/>
    </row>
    <row r="240">
      <c r="F240" s="2"/>
      <c r="G240" s="2"/>
    </row>
    <row r="241">
      <c r="F241" s="2"/>
      <c r="G241" s="2"/>
    </row>
    <row r="242">
      <c r="F242" s="2"/>
      <c r="G242" s="2"/>
    </row>
    <row r="243">
      <c r="F243" s="2"/>
      <c r="G243" s="2"/>
    </row>
    <row r="244">
      <c r="F244" s="2"/>
      <c r="G244" s="2"/>
    </row>
    <row r="245">
      <c r="F245" s="2"/>
      <c r="G245" s="2"/>
    </row>
    <row r="246">
      <c r="F246" s="2"/>
      <c r="G246" s="2"/>
    </row>
    <row r="247">
      <c r="F247" s="2"/>
      <c r="G247" s="2"/>
    </row>
    <row r="248">
      <c r="F248" s="2"/>
      <c r="G248" s="2"/>
    </row>
    <row r="249">
      <c r="F249" s="2"/>
      <c r="G249" s="2"/>
    </row>
    <row r="250">
      <c r="F250" s="2"/>
      <c r="G250" s="2"/>
    </row>
    <row r="251">
      <c r="F251" s="2"/>
      <c r="G251" s="2"/>
    </row>
    <row r="252">
      <c r="F252" s="2"/>
      <c r="G252" s="2"/>
    </row>
    <row r="253">
      <c r="F253" s="2"/>
      <c r="G253" s="2"/>
    </row>
    <row r="254">
      <c r="F254" s="2"/>
      <c r="G254" s="2"/>
    </row>
    <row r="255">
      <c r="F255" s="2"/>
      <c r="G255" s="2"/>
    </row>
    <row r="256">
      <c r="F256" s="2"/>
      <c r="G256" s="2"/>
    </row>
    <row r="257">
      <c r="F257" s="2"/>
      <c r="G257" s="2"/>
    </row>
    <row r="258">
      <c r="F258" s="2"/>
      <c r="G258" s="2"/>
    </row>
    <row r="259">
      <c r="F259" s="2"/>
      <c r="G259" s="2"/>
    </row>
    <row r="260">
      <c r="F260" s="2"/>
      <c r="G260" s="2"/>
    </row>
    <row r="261">
      <c r="F261" s="2"/>
      <c r="G261" s="2"/>
    </row>
    <row r="262">
      <c r="F262" s="2"/>
      <c r="G262" s="2"/>
    </row>
    <row r="263">
      <c r="F263" s="2"/>
      <c r="G263" s="2"/>
    </row>
    <row r="264">
      <c r="F264" s="2"/>
      <c r="G264" s="2"/>
    </row>
    <row r="265">
      <c r="F265" s="2"/>
      <c r="G265" s="2"/>
    </row>
    <row r="266">
      <c r="F266" s="2"/>
      <c r="G266" s="2"/>
    </row>
    <row r="267">
      <c r="F267" s="2"/>
      <c r="G267" s="2"/>
    </row>
    <row r="268">
      <c r="F268" s="2"/>
      <c r="G268" s="2"/>
    </row>
    <row r="269">
      <c r="F269" s="2"/>
      <c r="G269" s="2"/>
    </row>
    <row r="270">
      <c r="F270" s="2"/>
      <c r="G270" s="2"/>
    </row>
    <row r="271">
      <c r="F271" s="2"/>
      <c r="G271" s="2"/>
    </row>
    <row r="272">
      <c r="F272" s="2"/>
      <c r="G272" s="2"/>
    </row>
    <row r="273">
      <c r="F273" s="2"/>
      <c r="G273" s="2"/>
    </row>
    <row r="274">
      <c r="F274" s="2"/>
      <c r="G274" s="2"/>
    </row>
    <row r="275">
      <c r="F275" s="2"/>
      <c r="G275" s="2"/>
    </row>
    <row r="276">
      <c r="F276" s="2"/>
      <c r="G276" s="2"/>
    </row>
    <row r="277">
      <c r="F277" s="2"/>
      <c r="G277" s="2"/>
    </row>
    <row r="278">
      <c r="F278" s="2"/>
      <c r="G278" s="2"/>
    </row>
    <row r="279">
      <c r="F279" s="2"/>
      <c r="G279" s="2"/>
    </row>
    <row r="280">
      <c r="F280" s="2"/>
      <c r="G280" s="2"/>
    </row>
    <row r="281">
      <c r="F281" s="2"/>
      <c r="G281" s="2"/>
    </row>
    <row r="282">
      <c r="F282" s="2"/>
      <c r="G282" s="2"/>
    </row>
    <row r="283">
      <c r="F283" s="2"/>
      <c r="G283" s="2"/>
    </row>
    <row r="284">
      <c r="F284" s="2"/>
      <c r="G284" s="2"/>
    </row>
    <row r="285">
      <c r="F285" s="2"/>
      <c r="G285" s="2"/>
    </row>
    <row r="286">
      <c r="F286" s="2"/>
      <c r="G286" s="2"/>
    </row>
    <row r="287">
      <c r="F287" s="2"/>
      <c r="G287" s="2"/>
    </row>
    <row r="288">
      <c r="F288" s="2"/>
      <c r="G288" s="2"/>
    </row>
    <row r="289">
      <c r="F289" s="2"/>
      <c r="G289" s="2"/>
    </row>
    <row r="290">
      <c r="F290" s="2"/>
      <c r="G290" s="2"/>
    </row>
    <row r="291">
      <c r="F291" s="2"/>
      <c r="G291" s="2"/>
    </row>
    <row r="292">
      <c r="F292" s="2"/>
      <c r="G292" s="2"/>
    </row>
    <row r="293">
      <c r="F293" s="2"/>
      <c r="G293" s="2"/>
    </row>
    <row r="294">
      <c r="F294" s="2"/>
      <c r="G294" s="2"/>
    </row>
    <row r="295">
      <c r="F295" s="2"/>
      <c r="G295" s="2"/>
    </row>
    <row r="296">
      <c r="F296" s="2"/>
      <c r="G296" s="2"/>
    </row>
    <row r="297">
      <c r="F297" s="2"/>
      <c r="G297" s="2"/>
    </row>
    <row r="298">
      <c r="F298" s="2"/>
      <c r="G298" s="2"/>
    </row>
    <row r="299">
      <c r="F299" s="2"/>
      <c r="G299" s="2"/>
    </row>
    <row r="300">
      <c r="F300" s="2"/>
      <c r="G300" s="2"/>
    </row>
    <row r="301">
      <c r="F301" s="2"/>
      <c r="G301" s="2"/>
    </row>
    <row r="302">
      <c r="F302" s="2"/>
      <c r="G302" s="2"/>
    </row>
    <row r="303">
      <c r="F303" s="2"/>
      <c r="G303" s="2"/>
    </row>
    <row r="304">
      <c r="F304" s="2"/>
      <c r="G304" s="2"/>
    </row>
    <row r="305">
      <c r="F305" s="2"/>
      <c r="G305" s="2"/>
    </row>
    <row r="306">
      <c r="F306" s="2"/>
      <c r="G306" s="2"/>
    </row>
    <row r="307">
      <c r="F307" s="2"/>
      <c r="G307" s="2"/>
    </row>
    <row r="308">
      <c r="F308" s="2"/>
      <c r="G308" s="2"/>
    </row>
    <row r="309">
      <c r="F309" s="2"/>
      <c r="G309" s="2"/>
    </row>
    <row r="310">
      <c r="F310" s="2"/>
      <c r="G310" s="2"/>
    </row>
    <row r="311">
      <c r="F311" s="2"/>
      <c r="G311" s="2"/>
    </row>
    <row r="312">
      <c r="F312" s="2"/>
      <c r="G312" s="2"/>
    </row>
    <row r="313">
      <c r="F313" s="2"/>
      <c r="G313" s="2"/>
    </row>
    <row r="314">
      <c r="F314" s="2"/>
      <c r="G314" s="2"/>
    </row>
    <row r="315">
      <c r="F315" s="2"/>
      <c r="G315" s="2"/>
    </row>
    <row r="316">
      <c r="F316" s="2"/>
      <c r="G316" s="2"/>
    </row>
    <row r="317">
      <c r="F317" s="2"/>
      <c r="G317" s="2"/>
    </row>
    <row r="318">
      <c r="F318" s="2"/>
      <c r="G318" s="2"/>
    </row>
    <row r="319">
      <c r="F319" s="2"/>
      <c r="G319" s="2"/>
    </row>
    <row r="320">
      <c r="F320" s="2"/>
      <c r="G320" s="2"/>
    </row>
    <row r="321">
      <c r="F321" s="2"/>
      <c r="G321" s="2"/>
    </row>
    <row r="322">
      <c r="F322" s="2"/>
      <c r="G322" s="2"/>
    </row>
    <row r="323">
      <c r="F323" s="2"/>
      <c r="G323" s="2"/>
    </row>
    <row r="324">
      <c r="F324" s="2"/>
      <c r="G324" s="2"/>
    </row>
    <row r="325">
      <c r="F325" s="2"/>
      <c r="G325" s="2"/>
    </row>
    <row r="326">
      <c r="F326" s="2"/>
      <c r="G326" s="2"/>
    </row>
    <row r="327">
      <c r="F327" s="2"/>
      <c r="G327" s="2"/>
    </row>
    <row r="328">
      <c r="F328" s="2"/>
      <c r="G328" s="2"/>
    </row>
    <row r="329">
      <c r="F329" s="2"/>
      <c r="G329" s="2"/>
    </row>
    <row r="330">
      <c r="F330" s="2"/>
      <c r="G330" s="2"/>
    </row>
    <row r="331">
      <c r="F331" s="2"/>
      <c r="G331" s="2"/>
    </row>
    <row r="332">
      <c r="F332" s="2"/>
      <c r="G332" s="2"/>
    </row>
    <row r="333">
      <c r="F333" s="2"/>
      <c r="G333" s="2"/>
    </row>
    <row r="334">
      <c r="F334" s="2"/>
      <c r="G334" s="2"/>
    </row>
    <row r="335">
      <c r="F335" s="2"/>
      <c r="G335" s="2"/>
    </row>
    <row r="336">
      <c r="F336" s="2"/>
      <c r="G336" s="2"/>
    </row>
    <row r="337">
      <c r="F337" s="2"/>
      <c r="G337" s="2"/>
    </row>
    <row r="338">
      <c r="F338" s="2"/>
      <c r="G338" s="2"/>
    </row>
    <row r="339">
      <c r="F339" s="2"/>
      <c r="G339" s="2"/>
    </row>
    <row r="340">
      <c r="F340" s="2"/>
      <c r="G340" s="2"/>
    </row>
    <row r="341">
      <c r="F341" s="2"/>
      <c r="G341" s="2"/>
    </row>
    <row r="342">
      <c r="F342" s="2"/>
      <c r="G342" s="2"/>
    </row>
    <row r="343">
      <c r="F343" s="2"/>
      <c r="G343" s="2"/>
    </row>
    <row r="344">
      <c r="F344" s="2"/>
      <c r="G344" s="2"/>
    </row>
    <row r="345">
      <c r="F345" s="2"/>
      <c r="G345" s="2"/>
    </row>
    <row r="346">
      <c r="F346" s="2"/>
      <c r="G346" s="2"/>
    </row>
    <row r="347">
      <c r="F347" s="2"/>
      <c r="G347" s="2"/>
    </row>
    <row r="348">
      <c r="F348" s="2"/>
      <c r="G348" s="2"/>
    </row>
    <row r="349">
      <c r="F349" s="2"/>
      <c r="G349" s="2"/>
    </row>
    <row r="350">
      <c r="F350" s="2"/>
      <c r="G350" s="2"/>
    </row>
    <row r="351">
      <c r="F351" s="2"/>
      <c r="G351" s="2"/>
    </row>
    <row r="352">
      <c r="F352" s="2"/>
      <c r="G352" s="2"/>
    </row>
    <row r="353">
      <c r="F353" s="2"/>
      <c r="G353" s="2"/>
    </row>
    <row r="354">
      <c r="F354" s="2"/>
      <c r="G354" s="2"/>
    </row>
    <row r="355">
      <c r="F355" s="2"/>
      <c r="G355" s="2"/>
    </row>
    <row r="356">
      <c r="F356" s="2"/>
      <c r="G356" s="2"/>
    </row>
    <row r="357">
      <c r="F357" s="2"/>
      <c r="G357" s="2"/>
    </row>
    <row r="358">
      <c r="F358" s="2"/>
      <c r="G358" s="2"/>
    </row>
    <row r="359">
      <c r="F359" s="2"/>
      <c r="G359" s="2"/>
    </row>
    <row r="360">
      <c r="F360" s="2"/>
      <c r="G360" s="2"/>
    </row>
    <row r="361">
      <c r="F361" s="2"/>
      <c r="G361" s="2"/>
    </row>
    <row r="362">
      <c r="F362" s="2"/>
      <c r="G362" s="2"/>
    </row>
    <row r="363">
      <c r="F363" s="2"/>
      <c r="G363" s="2"/>
    </row>
    <row r="364">
      <c r="F364" s="2"/>
      <c r="G364" s="2"/>
    </row>
    <row r="365">
      <c r="F365" s="2"/>
      <c r="G365" s="2"/>
    </row>
    <row r="366">
      <c r="F366" s="2"/>
      <c r="G366" s="2"/>
    </row>
    <row r="367">
      <c r="F367" s="2"/>
      <c r="G367" s="2"/>
    </row>
    <row r="368">
      <c r="F368" s="2"/>
      <c r="G368" s="2"/>
    </row>
    <row r="369">
      <c r="F369" s="2"/>
      <c r="G369" s="2"/>
    </row>
    <row r="370">
      <c r="F370" s="2"/>
      <c r="G370" s="2"/>
    </row>
    <row r="371">
      <c r="F371" s="2"/>
      <c r="G371" s="2"/>
    </row>
    <row r="372">
      <c r="F372" s="2"/>
      <c r="G372" s="2"/>
    </row>
    <row r="373">
      <c r="F373" s="2"/>
      <c r="G373" s="2"/>
    </row>
    <row r="374">
      <c r="F374" s="2"/>
      <c r="G374" s="2"/>
    </row>
    <row r="375">
      <c r="F375" s="2"/>
      <c r="G375" s="2"/>
    </row>
    <row r="376">
      <c r="F376" s="2"/>
      <c r="G376" s="2"/>
    </row>
    <row r="377">
      <c r="F377" s="2"/>
      <c r="G377" s="2"/>
    </row>
    <row r="378">
      <c r="F378" s="2"/>
      <c r="G378" s="2"/>
    </row>
    <row r="379">
      <c r="F379" s="2"/>
      <c r="G379" s="2"/>
    </row>
    <row r="380">
      <c r="F380" s="2"/>
      <c r="G380" s="2"/>
    </row>
    <row r="381">
      <c r="F381" s="2"/>
      <c r="G381" s="2"/>
    </row>
    <row r="382">
      <c r="F382" s="2"/>
      <c r="G382" s="2"/>
    </row>
    <row r="383">
      <c r="F383" s="2"/>
      <c r="G383" s="2"/>
    </row>
    <row r="384">
      <c r="F384" s="2"/>
      <c r="G384" s="2"/>
    </row>
    <row r="385">
      <c r="F385" s="2"/>
      <c r="G385" s="2"/>
    </row>
    <row r="386">
      <c r="F386" s="2"/>
      <c r="G386" s="2"/>
    </row>
    <row r="387">
      <c r="F387" s="2"/>
      <c r="G387" s="2"/>
    </row>
    <row r="388">
      <c r="F388" s="2"/>
      <c r="G388" s="2"/>
    </row>
    <row r="389">
      <c r="F389" s="2"/>
      <c r="G389" s="2"/>
    </row>
    <row r="390">
      <c r="F390" s="2"/>
      <c r="G390" s="2"/>
    </row>
    <row r="391">
      <c r="F391" s="2"/>
      <c r="G391" s="2"/>
    </row>
    <row r="392">
      <c r="F392" s="2"/>
      <c r="G392" s="2"/>
    </row>
    <row r="393">
      <c r="F393" s="2"/>
      <c r="G393" s="2"/>
    </row>
    <row r="394">
      <c r="F394" s="2"/>
      <c r="G394" s="2"/>
    </row>
    <row r="395">
      <c r="F395" s="2"/>
      <c r="G395" s="2"/>
    </row>
    <row r="396">
      <c r="F396" s="2"/>
      <c r="G396" s="2"/>
    </row>
    <row r="397">
      <c r="F397" s="2"/>
      <c r="G397" s="2"/>
    </row>
    <row r="398">
      <c r="F398" s="2"/>
      <c r="G398" s="2"/>
    </row>
    <row r="399">
      <c r="F399" s="2"/>
      <c r="G399" s="2"/>
    </row>
    <row r="400">
      <c r="F400" s="2"/>
      <c r="G400" s="2"/>
    </row>
    <row r="401">
      <c r="F401" s="2"/>
      <c r="G401" s="2"/>
    </row>
    <row r="402">
      <c r="F402" s="2"/>
      <c r="G402" s="2"/>
    </row>
    <row r="403">
      <c r="F403" s="2"/>
      <c r="G403" s="2"/>
    </row>
    <row r="404">
      <c r="F404" s="2"/>
      <c r="G404" s="2"/>
    </row>
    <row r="405">
      <c r="F405" s="2"/>
      <c r="G405" s="2"/>
    </row>
    <row r="406">
      <c r="F406" s="2"/>
      <c r="G406" s="2"/>
    </row>
    <row r="407">
      <c r="F407" s="2"/>
      <c r="G407" s="2"/>
    </row>
    <row r="408">
      <c r="F408" s="2"/>
      <c r="G408" s="2"/>
    </row>
    <row r="409">
      <c r="F409" s="2"/>
      <c r="G409" s="2"/>
    </row>
    <row r="410">
      <c r="F410" s="2"/>
      <c r="G410" s="2"/>
    </row>
    <row r="411">
      <c r="F411" s="2"/>
      <c r="G411" s="2"/>
    </row>
    <row r="412">
      <c r="F412" s="2"/>
      <c r="G412" s="2"/>
    </row>
    <row r="413">
      <c r="F413" s="2"/>
      <c r="G413" s="2"/>
    </row>
    <row r="414">
      <c r="F414" s="2"/>
      <c r="G414" s="2"/>
    </row>
    <row r="415">
      <c r="F415" s="2"/>
      <c r="G415" s="2"/>
    </row>
    <row r="416">
      <c r="F416" s="2"/>
      <c r="G416" s="2"/>
    </row>
    <row r="417">
      <c r="F417" s="2"/>
      <c r="G417" s="2"/>
    </row>
    <row r="418">
      <c r="F418" s="2"/>
      <c r="G418" s="2"/>
    </row>
    <row r="419">
      <c r="F419" s="2"/>
      <c r="G419" s="2"/>
    </row>
    <row r="420">
      <c r="F420" s="2"/>
      <c r="G420" s="2"/>
    </row>
    <row r="421">
      <c r="F421" s="2"/>
      <c r="G421" s="2"/>
    </row>
    <row r="422">
      <c r="F422" s="2"/>
      <c r="G422" s="2"/>
    </row>
    <row r="423">
      <c r="F423" s="2"/>
      <c r="G423" s="2"/>
    </row>
    <row r="424">
      <c r="F424" s="2"/>
      <c r="G424" s="2"/>
    </row>
    <row r="425">
      <c r="F425" s="2"/>
      <c r="G425" s="2"/>
    </row>
    <row r="426">
      <c r="F426" s="2"/>
      <c r="G426" s="2"/>
    </row>
    <row r="427">
      <c r="F427" s="2"/>
      <c r="G427" s="2"/>
    </row>
    <row r="428">
      <c r="F428" s="2"/>
      <c r="G428" s="2"/>
    </row>
    <row r="429">
      <c r="F429" s="2"/>
      <c r="G429" s="2"/>
    </row>
    <row r="430">
      <c r="F430" s="2"/>
      <c r="G430" s="2"/>
    </row>
    <row r="431">
      <c r="F431" s="2"/>
      <c r="G431" s="2"/>
    </row>
    <row r="432">
      <c r="F432" s="2"/>
      <c r="G432" s="2"/>
    </row>
    <row r="433">
      <c r="F433" s="2"/>
      <c r="G433" s="2"/>
    </row>
    <row r="434">
      <c r="F434" s="2"/>
      <c r="G434" s="2"/>
    </row>
    <row r="435">
      <c r="F435" s="2"/>
      <c r="G435" s="2"/>
    </row>
    <row r="436">
      <c r="F436" s="2"/>
      <c r="G436" s="2"/>
    </row>
    <row r="437">
      <c r="F437" s="2"/>
      <c r="G437" s="2"/>
    </row>
    <row r="438">
      <c r="F438" s="2"/>
      <c r="G438" s="2"/>
    </row>
    <row r="439">
      <c r="F439" s="2"/>
      <c r="G439" s="2"/>
    </row>
    <row r="440">
      <c r="F440" s="2"/>
      <c r="G440" s="2"/>
    </row>
    <row r="441">
      <c r="F441" s="2"/>
      <c r="G441" s="2"/>
    </row>
    <row r="442">
      <c r="F442" s="2"/>
      <c r="G442" s="2"/>
    </row>
    <row r="443">
      <c r="F443" s="2"/>
      <c r="G443" s="2"/>
    </row>
    <row r="444">
      <c r="F444" s="2"/>
      <c r="G444" s="2"/>
    </row>
    <row r="445">
      <c r="F445" s="2"/>
      <c r="G445" s="2"/>
    </row>
    <row r="446">
      <c r="F446" s="2"/>
      <c r="G446" s="2"/>
    </row>
    <row r="447">
      <c r="F447" s="2"/>
      <c r="G447" s="2"/>
    </row>
    <row r="448">
      <c r="F448" s="2"/>
      <c r="G448" s="2"/>
    </row>
    <row r="449">
      <c r="F449" s="2"/>
      <c r="G449" s="2"/>
    </row>
    <row r="450">
      <c r="F450" s="2"/>
      <c r="G450" s="2"/>
    </row>
    <row r="451">
      <c r="F451" s="2"/>
      <c r="G451" s="2"/>
    </row>
    <row r="452">
      <c r="F452" s="2"/>
      <c r="G452" s="2"/>
    </row>
    <row r="453">
      <c r="F453" s="2"/>
      <c r="G453" s="2"/>
    </row>
    <row r="454">
      <c r="F454" s="2"/>
      <c r="G454" s="2"/>
    </row>
    <row r="455">
      <c r="F455" s="2"/>
      <c r="G455" s="2"/>
    </row>
    <row r="456">
      <c r="F456" s="2"/>
      <c r="G456" s="2"/>
    </row>
    <row r="457">
      <c r="F457" s="2"/>
      <c r="G457" s="2"/>
    </row>
    <row r="458">
      <c r="F458" s="2"/>
      <c r="G458" s="2"/>
    </row>
    <row r="459">
      <c r="F459" s="2"/>
      <c r="G459" s="2"/>
    </row>
    <row r="460">
      <c r="F460" s="2"/>
      <c r="G460" s="2"/>
    </row>
    <row r="461">
      <c r="F461" s="2"/>
      <c r="G461" s="2"/>
    </row>
    <row r="462">
      <c r="F462" s="2"/>
      <c r="G462" s="2"/>
    </row>
    <row r="463">
      <c r="F463" s="2"/>
      <c r="G463" s="2"/>
    </row>
    <row r="464">
      <c r="F464" s="2"/>
      <c r="G464" s="2"/>
    </row>
    <row r="465">
      <c r="F465" s="2"/>
      <c r="G465" s="2"/>
    </row>
    <row r="466">
      <c r="F466" s="2"/>
      <c r="G466" s="2"/>
    </row>
    <row r="467">
      <c r="F467" s="2"/>
      <c r="G467" s="2"/>
    </row>
    <row r="468">
      <c r="F468" s="2"/>
      <c r="G468" s="2"/>
    </row>
    <row r="469">
      <c r="F469" s="2"/>
      <c r="G469" s="2"/>
    </row>
    <row r="470">
      <c r="F470" s="2"/>
      <c r="G470" s="2"/>
    </row>
    <row r="471">
      <c r="F471" s="2"/>
      <c r="G471" s="2"/>
    </row>
    <row r="472">
      <c r="F472" s="2"/>
      <c r="G472" s="2"/>
    </row>
    <row r="473">
      <c r="F473" s="2"/>
      <c r="G473" s="2"/>
    </row>
    <row r="474">
      <c r="F474" s="2"/>
      <c r="G474" s="2"/>
    </row>
    <row r="475">
      <c r="F475" s="2"/>
      <c r="G475" s="2"/>
    </row>
    <row r="476">
      <c r="F476" s="2"/>
      <c r="G476" s="2"/>
    </row>
    <row r="477">
      <c r="F477" s="2"/>
      <c r="G477" s="2"/>
    </row>
    <row r="478">
      <c r="F478" s="2"/>
      <c r="G478" s="2"/>
    </row>
    <row r="479">
      <c r="F479" s="2"/>
      <c r="G479" s="2"/>
    </row>
    <row r="480">
      <c r="F480" s="2"/>
      <c r="G480" s="2"/>
    </row>
    <row r="481">
      <c r="F481" s="2"/>
      <c r="G481" s="2"/>
    </row>
    <row r="482">
      <c r="F482" s="2"/>
      <c r="G482" s="2"/>
    </row>
    <row r="483">
      <c r="F483" s="2"/>
      <c r="G483" s="2"/>
    </row>
    <row r="484">
      <c r="F484" s="2"/>
      <c r="G484" s="2"/>
    </row>
    <row r="485">
      <c r="F485" s="2"/>
      <c r="G485" s="2"/>
    </row>
    <row r="486">
      <c r="F486" s="2"/>
      <c r="G486" s="2"/>
    </row>
    <row r="487">
      <c r="F487" s="2"/>
      <c r="G487" s="2"/>
    </row>
    <row r="488">
      <c r="F488" s="2"/>
      <c r="G488" s="2"/>
    </row>
    <row r="489">
      <c r="F489" s="2"/>
      <c r="G489" s="2"/>
    </row>
    <row r="490">
      <c r="F490" s="2"/>
      <c r="G490" s="2"/>
    </row>
    <row r="491">
      <c r="F491" s="2"/>
      <c r="G491" s="2"/>
    </row>
    <row r="492">
      <c r="F492" s="2"/>
      <c r="G492" s="2"/>
    </row>
    <row r="493">
      <c r="F493" s="2"/>
      <c r="G493" s="2"/>
    </row>
    <row r="494">
      <c r="F494" s="2"/>
      <c r="G494" s="2"/>
    </row>
    <row r="495">
      <c r="F495" s="2"/>
      <c r="G495" s="2"/>
    </row>
    <row r="496">
      <c r="F496" s="2"/>
      <c r="G496" s="2"/>
    </row>
    <row r="497">
      <c r="F497" s="2"/>
      <c r="G497" s="2"/>
    </row>
    <row r="498">
      <c r="F498" s="2"/>
      <c r="G498" s="2"/>
    </row>
    <row r="499">
      <c r="F499" s="2"/>
      <c r="G499" s="2"/>
    </row>
    <row r="500">
      <c r="F500" s="2"/>
      <c r="G500" s="2"/>
    </row>
    <row r="501">
      <c r="F501" s="2"/>
      <c r="G501" s="2"/>
    </row>
    <row r="502">
      <c r="F502" s="2"/>
      <c r="G502" s="2"/>
    </row>
    <row r="503">
      <c r="F503" s="2"/>
      <c r="G503" s="2"/>
    </row>
    <row r="504">
      <c r="F504" s="2"/>
      <c r="G504" s="2"/>
    </row>
    <row r="505">
      <c r="F505" s="2"/>
      <c r="G505" s="2"/>
    </row>
    <row r="506">
      <c r="F506" s="2"/>
      <c r="G506" s="2"/>
    </row>
    <row r="507">
      <c r="F507" s="2"/>
      <c r="G507" s="2"/>
    </row>
    <row r="508">
      <c r="F508" s="2"/>
      <c r="G508" s="2"/>
    </row>
    <row r="509">
      <c r="F509" s="2"/>
      <c r="G509" s="2"/>
    </row>
    <row r="510">
      <c r="F510" s="2"/>
      <c r="G510" s="2"/>
    </row>
    <row r="511">
      <c r="F511" s="2"/>
      <c r="G511" s="2"/>
    </row>
    <row r="512">
      <c r="F512" s="2"/>
      <c r="G512" s="2"/>
    </row>
    <row r="513">
      <c r="F513" s="2"/>
      <c r="G513" s="2"/>
    </row>
    <row r="514">
      <c r="F514" s="2"/>
      <c r="G514" s="2"/>
    </row>
    <row r="515">
      <c r="F515" s="2"/>
      <c r="G515" s="2"/>
    </row>
    <row r="516">
      <c r="F516" s="2"/>
      <c r="G516" s="2"/>
    </row>
    <row r="517">
      <c r="F517" s="2"/>
      <c r="G517" s="2"/>
    </row>
    <row r="518">
      <c r="F518" s="2"/>
      <c r="G518" s="2"/>
    </row>
    <row r="519">
      <c r="F519" s="2"/>
      <c r="G519" s="2"/>
    </row>
    <row r="520">
      <c r="F520" s="2"/>
      <c r="G520" s="2"/>
    </row>
    <row r="521">
      <c r="F521" s="2"/>
      <c r="G521" s="2"/>
    </row>
    <row r="522">
      <c r="F522" s="2"/>
      <c r="G522" s="2"/>
    </row>
    <row r="523">
      <c r="F523" s="2"/>
      <c r="G523" s="2"/>
    </row>
    <row r="524">
      <c r="F524" s="2"/>
      <c r="G524" s="2"/>
    </row>
    <row r="525">
      <c r="F525" s="2"/>
      <c r="G525" s="2"/>
    </row>
    <row r="526">
      <c r="F526" s="2"/>
      <c r="G526" s="2"/>
    </row>
    <row r="527">
      <c r="F527" s="2"/>
      <c r="G527" s="2"/>
    </row>
    <row r="528">
      <c r="F528" s="2"/>
      <c r="G528" s="2"/>
    </row>
    <row r="529">
      <c r="F529" s="2"/>
      <c r="G529" s="2"/>
    </row>
    <row r="530">
      <c r="F530" s="2"/>
      <c r="G530" s="2"/>
    </row>
    <row r="531">
      <c r="F531" s="2"/>
      <c r="G531" s="2"/>
    </row>
    <row r="532">
      <c r="F532" s="2"/>
      <c r="G532" s="2"/>
    </row>
    <row r="533">
      <c r="F533" s="2"/>
      <c r="G533" s="2"/>
    </row>
    <row r="534">
      <c r="F534" s="2"/>
      <c r="G534" s="2"/>
    </row>
    <row r="535">
      <c r="F535" s="2"/>
      <c r="G535" s="2"/>
    </row>
    <row r="536">
      <c r="F536" s="2"/>
      <c r="G536" s="2"/>
    </row>
    <row r="537">
      <c r="F537" s="2"/>
      <c r="G537" s="2"/>
    </row>
    <row r="538">
      <c r="F538" s="2"/>
      <c r="G538" s="2"/>
    </row>
    <row r="539">
      <c r="F539" s="2"/>
      <c r="G539" s="2"/>
    </row>
    <row r="540">
      <c r="F540" s="2"/>
      <c r="G540" s="2"/>
    </row>
    <row r="541">
      <c r="F541" s="2"/>
      <c r="G541" s="2"/>
    </row>
    <row r="542">
      <c r="F542" s="2"/>
      <c r="G542" s="2"/>
    </row>
    <row r="543">
      <c r="F543" s="2"/>
      <c r="G543" s="2"/>
    </row>
    <row r="544">
      <c r="F544" s="2"/>
      <c r="G544" s="2"/>
    </row>
    <row r="545">
      <c r="F545" s="2"/>
      <c r="G545" s="2"/>
    </row>
    <row r="546">
      <c r="F546" s="2"/>
      <c r="G546" s="2"/>
    </row>
    <row r="547">
      <c r="F547" s="2"/>
      <c r="G547" s="2"/>
    </row>
    <row r="548">
      <c r="F548" s="2"/>
      <c r="G548" s="2"/>
    </row>
    <row r="549">
      <c r="F549" s="2"/>
      <c r="G549" s="2"/>
    </row>
    <row r="550">
      <c r="F550" s="2"/>
      <c r="G550" s="2"/>
    </row>
    <row r="551">
      <c r="F551" s="2"/>
      <c r="G551" s="2"/>
    </row>
    <row r="552">
      <c r="F552" s="2"/>
      <c r="G552" s="2"/>
    </row>
    <row r="553">
      <c r="F553" s="2"/>
      <c r="G553" s="2"/>
    </row>
    <row r="554">
      <c r="F554" s="2"/>
      <c r="G554" s="2"/>
    </row>
    <row r="555">
      <c r="F555" s="2"/>
      <c r="G555" s="2"/>
    </row>
    <row r="556">
      <c r="F556" s="2"/>
      <c r="G556" s="2"/>
    </row>
    <row r="557">
      <c r="F557" s="2"/>
      <c r="G557" s="2"/>
    </row>
    <row r="558">
      <c r="F558" s="2"/>
      <c r="G558" s="2"/>
    </row>
    <row r="559">
      <c r="F559" s="2"/>
      <c r="G559" s="2"/>
    </row>
    <row r="560">
      <c r="F560" s="2"/>
      <c r="G560" s="2"/>
    </row>
    <row r="561">
      <c r="F561" s="2"/>
      <c r="G561" s="2"/>
    </row>
    <row r="562">
      <c r="F562" s="2"/>
      <c r="G562" s="2"/>
    </row>
    <row r="563">
      <c r="F563" s="2"/>
      <c r="G563" s="2"/>
    </row>
    <row r="564">
      <c r="F564" s="2"/>
      <c r="G564" s="2"/>
    </row>
    <row r="565">
      <c r="F565" s="2"/>
      <c r="G565" s="2"/>
    </row>
    <row r="566">
      <c r="F566" s="2"/>
      <c r="G566" s="2"/>
    </row>
    <row r="567">
      <c r="F567" s="2"/>
      <c r="G567" s="2"/>
    </row>
    <row r="568">
      <c r="F568" s="2"/>
      <c r="G568" s="2"/>
    </row>
    <row r="569">
      <c r="F569" s="2"/>
      <c r="G569" s="2"/>
    </row>
    <row r="570">
      <c r="F570" s="2"/>
      <c r="G570" s="2"/>
    </row>
    <row r="571">
      <c r="F571" s="2"/>
      <c r="G571" s="2"/>
    </row>
    <row r="572">
      <c r="F572" s="2"/>
      <c r="G572" s="2"/>
    </row>
    <row r="573">
      <c r="F573" s="2"/>
      <c r="G573" s="2"/>
    </row>
    <row r="574">
      <c r="F574" s="2"/>
      <c r="G574" s="2"/>
    </row>
    <row r="575">
      <c r="F575" s="2"/>
      <c r="G575" s="2"/>
    </row>
    <row r="576">
      <c r="F576" s="2"/>
      <c r="G576" s="2"/>
    </row>
    <row r="577">
      <c r="F577" s="2"/>
      <c r="G577" s="2"/>
    </row>
    <row r="578">
      <c r="F578" s="2"/>
      <c r="G578" s="2"/>
    </row>
    <row r="579">
      <c r="F579" s="2"/>
      <c r="G579" s="2"/>
    </row>
    <row r="580">
      <c r="F580" s="2"/>
      <c r="G580" s="2"/>
    </row>
    <row r="581">
      <c r="F581" s="2"/>
      <c r="G581" s="2"/>
    </row>
    <row r="582">
      <c r="F582" s="2"/>
      <c r="G582" s="2"/>
    </row>
    <row r="583">
      <c r="F583" s="2"/>
      <c r="G583" s="2"/>
    </row>
    <row r="584">
      <c r="F584" s="2"/>
      <c r="G584" s="2"/>
    </row>
    <row r="585">
      <c r="F585" s="2"/>
      <c r="G585" s="2"/>
    </row>
    <row r="586">
      <c r="F586" s="2"/>
      <c r="G586" s="2"/>
    </row>
    <row r="587">
      <c r="F587" s="2"/>
      <c r="G587" s="2"/>
    </row>
    <row r="588">
      <c r="F588" s="2"/>
      <c r="G588" s="2"/>
    </row>
    <row r="589">
      <c r="F589" s="2"/>
      <c r="G589" s="2"/>
    </row>
    <row r="590">
      <c r="F590" s="2"/>
      <c r="G590" s="2"/>
    </row>
    <row r="591">
      <c r="F591" s="2"/>
      <c r="G591" s="2"/>
    </row>
    <row r="592">
      <c r="F592" s="2"/>
      <c r="G592" s="2"/>
    </row>
    <row r="593">
      <c r="F593" s="2"/>
      <c r="G593" s="2"/>
    </row>
    <row r="594">
      <c r="F594" s="2"/>
      <c r="G594" s="2"/>
    </row>
    <row r="595">
      <c r="F595" s="2"/>
      <c r="G595" s="2"/>
    </row>
    <row r="596">
      <c r="F596" s="2"/>
      <c r="G596" s="2"/>
    </row>
    <row r="597">
      <c r="F597" s="2"/>
      <c r="G597" s="2"/>
    </row>
    <row r="598">
      <c r="F598" s="2"/>
      <c r="G598" s="2"/>
    </row>
    <row r="599">
      <c r="F599" s="2"/>
      <c r="G599" s="2"/>
    </row>
    <row r="600">
      <c r="F600" s="2"/>
      <c r="G600" s="2"/>
    </row>
    <row r="601">
      <c r="F601" s="2"/>
      <c r="G601" s="2"/>
    </row>
    <row r="602">
      <c r="F602" s="2"/>
      <c r="G602" s="2"/>
    </row>
    <row r="603">
      <c r="F603" s="2"/>
      <c r="G603" s="2"/>
    </row>
    <row r="604">
      <c r="F604" s="2"/>
      <c r="G604" s="2"/>
    </row>
    <row r="605">
      <c r="F605" s="2"/>
      <c r="G605" s="2"/>
    </row>
    <row r="606">
      <c r="F606" s="2"/>
      <c r="G606" s="2"/>
    </row>
    <row r="607">
      <c r="F607" s="2"/>
      <c r="G607" s="2"/>
    </row>
    <row r="608">
      <c r="F608" s="2"/>
      <c r="G608" s="2"/>
    </row>
    <row r="609">
      <c r="F609" s="2"/>
      <c r="G609" s="2"/>
    </row>
    <row r="610">
      <c r="F610" s="2"/>
      <c r="G610" s="2"/>
    </row>
    <row r="611">
      <c r="F611" s="2"/>
      <c r="G611" s="2"/>
    </row>
    <row r="612">
      <c r="F612" s="2"/>
      <c r="G612" s="2"/>
    </row>
    <row r="613">
      <c r="F613" s="2"/>
      <c r="G613" s="2"/>
    </row>
    <row r="614">
      <c r="F614" s="2"/>
      <c r="G614" s="2"/>
    </row>
    <row r="615">
      <c r="F615" s="2"/>
      <c r="G615" s="2"/>
    </row>
    <row r="616">
      <c r="F616" s="2"/>
      <c r="G616" s="2"/>
    </row>
    <row r="617">
      <c r="F617" s="2"/>
      <c r="G617" s="2"/>
    </row>
    <row r="618">
      <c r="F618" s="2"/>
      <c r="G618" s="2"/>
    </row>
    <row r="619">
      <c r="F619" s="2"/>
      <c r="G619" s="2"/>
    </row>
    <row r="620">
      <c r="F620" s="2"/>
      <c r="G620" s="2"/>
    </row>
    <row r="621">
      <c r="F621" s="2"/>
      <c r="G621" s="2"/>
    </row>
    <row r="622">
      <c r="F622" s="2"/>
      <c r="G622" s="2"/>
    </row>
    <row r="623">
      <c r="F623" s="2"/>
      <c r="G623" s="2"/>
    </row>
    <row r="624">
      <c r="F624" s="2"/>
      <c r="G624" s="2"/>
    </row>
    <row r="625">
      <c r="F625" s="2"/>
      <c r="G625" s="2"/>
    </row>
    <row r="626">
      <c r="F626" s="2"/>
      <c r="G626" s="2"/>
    </row>
    <row r="627">
      <c r="F627" s="2"/>
      <c r="G627" s="2"/>
    </row>
    <row r="628">
      <c r="F628" s="2"/>
      <c r="G628" s="2"/>
    </row>
    <row r="629">
      <c r="F629" s="2"/>
      <c r="G629" s="2"/>
    </row>
    <row r="630">
      <c r="F630" s="2"/>
      <c r="G630" s="2"/>
    </row>
    <row r="631">
      <c r="F631" s="2"/>
      <c r="G631" s="2"/>
    </row>
    <row r="632">
      <c r="F632" s="2"/>
      <c r="G632" s="2"/>
    </row>
    <row r="633">
      <c r="F633" s="2"/>
      <c r="G633" s="2"/>
    </row>
    <row r="634">
      <c r="F634" s="2"/>
      <c r="G634" s="2"/>
    </row>
    <row r="635">
      <c r="F635" s="2"/>
      <c r="G635" s="2"/>
    </row>
    <row r="636">
      <c r="F636" s="2"/>
      <c r="G636" s="2"/>
    </row>
    <row r="637">
      <c r="F637" s="2"/>
      <c r="G637" s="2"/>
    </row>
    <row r="638">
      <c r="F638" s="2"/>
      <c r="G638" s="2"/>
    </row>
    <row r="639">
      <c r="F639" s="2"/>
      <c r="G639" s="2"/>
    </row>
    <row r="640">
      <c r="F640" s="2"/>
      <c r="G640" s="2"/>
    </row>
    <row r="641">
      <c r="F641" s="2"/>
      <c r="G641" s="2"/>
    </row>
    <row r="642">
      <c r="F642" s="2"/>
      <c r="G642" s="2"/>
    </row>
    <row r="643">
      <c r="F643" s="2"/>
      <c r="G643" s="2"/>
    </row>
    <row r="644">
      <c r="F644" s="2"/>
      <c r="G644" s="2"/>
    </row>
    <row r="645">
      <c r="F645" s="2"/>
      <c r="G645" s="2"/>
    </row>
    <row r="646">
      <c r="F646" s="2"/>
      <c r="G646" s="2"/>
    </row>
    <row r="647">
      <c r="F647" s="2"/>
      <c r="G647" s="2"/>
    </row>
    <row r="648">
      <c r="F648" s="2"/>
      <c r="G648" s="2"/>
    </row>
    <row r="649">
      <c r="F649" s="2"/>
      <c r="G649" s="2"/>
    </row>
    <row r="650">
      <c r="F650" s="2"/>
      <c r="G650" s="2"/>
    </row>
    <row r="651">
      <c r="F651" s="2"/>
      <c r="G651" s="2"/>
    </row>
    <row r="652">
      <c r="F652" s="2"/>
      <c r="G652" s="2"/>
    </row>
    <row r="653">
      <c r="F653" s="2"/>
      <c r="G653" s="2"/>
    </row>
    <row r="654">
      <c r="F654" s="2"/>
      <c r="G654" s="2"/>
    </row>
    <row r="655">
      <c r="F655" s="2"/>
      <c r="G655" s="2"/>
    </row>
    <row r="656">
      <c r="F656" s="2"/>
      <c r="G656" s="2"/>
    </row>
    <row r="657">
      <c r="F657" s="2"/>
      <c r="G657" s="2"/>
    </row>
    <row r="658">
      <c r="F658" s="2"/>
      <c r="G658" s="2"/>
    </row>
    <row r="659">
      <c r="F659" s="2"/>
      <c r="G659" s="2"/>
    </row>
    <row r="660">
      <c r="F660" s="2"/>
      <c r="G660" s="2"/>
    </row>
    <row r="661">
      <c r="F661" s="2"/>
      <c r="G661" s="2"/>
    </row>
    <row r="662">
      <c r="F662" s="2"/>
      <c r="G662" s="2"/>
    </row>
    <row r="663">
      <c r="F663" s="2"/>
      <c r="G663" s="2"/>
    </row>
    <row r="664">
      <c r="F664" s="2"/>
      <c r="G664" s="2"/>
    </row>
    <row r="665">
      <c r="F665" s="2"/>
      <c r="G665" s="2"/>
    </row>
    <row r="666">
      <c r="F666" s="2"/>
      <c r="G666" s="2"/>
    </row>
    <row r="667">
      <c r="F667" s="2"/>
      <c r="G667" s="2"/>
    </row>
    <row r="668">
      <c r="F668" s="2"/>
      <c r="G668" s="2"/>
    </row>
    <row r="669">
      <c r="F669" s="2"/>
      <c r="G669" s="2"/>
    </row>
    <row r="670">
      <c r="F670" s="2"/>
      <c r="G670" s="2"/>
    </row>
    <row r="671">
      <c r="F671" s="2"/>
      <c r="G671" s="2"/>
    </row>
    <row r="672">
      <c r="F672" s="2"/>
      <c r="G672" s="2"/>
    </row>
    <row r="673">
      <c r="F673" s="2"/>
      <c r="G673" s="2"/>
    </row>
    <row r="674">
      <c r="F674" s="2"/>
      <c r="G674" s="2"/>
    </row>
    <row r="675">
      <c r="F675" s="2"/>
      <c r="G675" s="2"/>
    </row>
    <row r="676">
      <c r="F676" s="2"/>
      <c r="G676" s="2"/>
    </row>
    <row r="677">
      <c r="F677" s="2"/>
      <c r="G677" s="2"/>
    </row>
    <row r="678">
      <c r="F678" s="2"/>
      <c r="G678" s="2"/>
    </row>
    <row r="679">
      <c r="F679" s="2"/>
      <c r="G679" s="2"/>
    </row>
    <row r="680">
      <c r="F680" s="2"/>
      <c r="G680" s="2"/>
    </row>
    <row r="681">
      <c r="F681" s="2"/>
      <c r="G681" s="2"/>
    </row>
    <row r="682">
      <c r="F682" s="2"/>
      <c r="G682" s="2"/>
    </row>
    <row r="683">
      <c r="F683" s="2"/>
      <c r="G683" s="2"/>
    </row>
    <row r="684">
      <c r="F684" s="2"/>
      <c r="G684" s="2"/>
    </row>
    <row r="685">
      <c r="F685" s="2"/>
      <c r="G685" s="2"/>
    </row>
    <row r="686">
      <c r="F686" s="2"/>
      <c r="G686" s="2"/>
    </row>
    <row r="687">
      <c r="F687" s="2"/>
      <c r="G687" s="2"/>
    </row>
    <row r="688">
      <c r="F688" s="2"/>
      <c r="G688" s="2"/>
    </row>
    <row r="689">
      <c r="F689" s="2"/>
      <c r="G689" s="2"/>
    </row>
    <row r="690">
      <c r="F690" s="2"/>
      <c r="G690" s="2"/>
    </row>
    <row r="691">
      <c r="F691" s="2"/>
      <c r="G691" s="2"/>
    </row>
    <row r="692">
      <c r="F692" s="2"/>
      <c r="G692" s="2"/>
    </row>
    <row r="693">
      <c r="F693" s="2"/>
      <c r="G693" s="2"/>
    </row>
    <row r="694">
      <c r="F694" s="2"/>
      <c r="G694" s="2"/>
    </row>
    <row r="695">
      <c r="F695" s="2"/>
      <c r="G695" s="2"/>
    </row>
    <row r="696">
      <c r="F696" s="2"/>
      <c r="G696" s="2"/>
    </row>
    <row r="697">
      <c r="F697" s="2"/>
      <c r="G697" s="2"/>
    </row>
    <row r="698">
      <c r="F698" s="2"/>
      <c r="G698" s="2"/>
    </row>
    <row r="699">
      <c r="F699" s="2"/>
      <c r="G699" s="2"/>
    </row>
    <row r="700">
      <c r="F700" s="2"/>
      <c r="G700" s="2"/>
    </row>
    <row r="701">
      <c r="F701" s="2"/>
      <c r="G701" s="2"/>
    </row>
    <row r="702">
      <c r="F702" s="2"/>
      <c r="G702" s="2"/>
    </row>
    <row r="703">
      <c r="F703" s="2"/>
      <c r="G703" s="2"/>
    </row>
    <row r="704">
      <c r="F704" s="2"/>
      <c r="G704" s="2"/>
    </row>
    <row r="705">
      <c r="F705" s="2"/>
      <c r="G705" s="2"/>
    </row>
    <row r="706">
      <c r="F706" s="2"/>
      <c r="G706" s="2"/>
    </row>
    <row r="707">
      <c r="F707" s="2"/>
      <c r="G707" s="2"/>
    </row>
    <row r="708">
      <c r="F708" s="2"/>
      <c r="G708" s="2"/>
    </row>
    <row r="709">
      <c r="F709" s="2"/>
      <c r="G709" s="2"/>
    </row>
    <row r="710">
      <c r="F710" s="2"/>
      <c r="G710" s="2"/>
    </row>
    <row r="711">
      <c r="F711" s="2"/>
      <c r="G711" s="2"/>
    </row>
    <row r="712">
      <c r="F712" s="2"/>
      <c r="G712" s="2"/>
    </row>
    <row r="713">
      <c r="F713" s="2"/>
      <c r="G713" s="2"/>
    </row>
    <row r="714">
      <c r="F714" s="2"/>
      <c r="G714" s="2"/>
    </row>
    <row r="715">
      <c r="F715" s="2"/>
      <c r="G715" s="2"/>
    </row>
    <row r="716">
      <c r="F716" s="2"/>
      <c r="G716" s="2"/>
    </row>
    <row r="717">
      <c r="F717" s="2"/>
      <c r="G717" s="2"/>
    </row>
    <row r="718">
      <c r="F718" s="2"/>
      <c r="G718" s="2"/>
    </row>
    <row r="719">
      <c r="F719" s="2"/>
      <c r="G719" s="2"/>
    </row>
    <row r="720">
      <c r="F720" s="2"/>
      <c r="G720" s="2"/>
    </row>
    <row r="721">
      <c r="F721" s="2"/>
      <c r="G721" s="2"/>
    </row>
    <row r="722">
      <c r="F722" s="2"/>
      <c r="G722" s="2"/>
    </row>
    <row r="723">
      <c r="F723" s="2"/>
      <c r="G723" s="2"/>
    </row>
    <row r="724">
      <c r="F724" s="2"/>
      <c r="G724" s="2"/>
    </row>
    <row r="725">
      <c r="F725" s="2"/>
      <c r="G725" s="2"/>
    </row>
    <row r="726">
      <c r="F726" s="2"/>
      <c r="G726" s="2"/>
    </row>
    <row r="727">
      <c r="F727" s="2"/>
      <c r="G727" s="2"/>
    </row>
    <row r="728">
      <c r="F728" s="2"/>
      <c r="G728" s="2"/>
    </row>
    <row r="729">
      <c r="F729" s="2"/>
      <c r="G729" s="2"/>
    </row>
    <row r="730">
      <c r="F730" s="2"/>
      <c r="G730" s="2"/>
    </row>
    <row r="731">
      <c r="F731" s="2"/>
      <c r="G731" s="2"/>
    </row>
    <row r="732">
      <c r="F732" s="2"/>
      <c r="G732" s="2"/>
    </row>
    <row r="733">
      <c r="F733" s="2"/>
      <c r="G733" s="2"/>
    </row>
    <row r="734">
      <c r="F734" s="2"/>
      <c r="G734" s="2"/>
    </row>
    <row r="735">
      <c r="F735" s="2"/>
      <c r="G735" s="2"/>
    </row>
    <row r="736">
      <c r="F736" s="2"/>
      <c r="G736" s="2"/>
    </row>
    <row r="737">
      <c r="F737" s="2"/>
      <c r="G737" s="2"/>
    </row>
    <row r="738">
      <c r="F738" s="2"/>
      <c r="G738" s="2"/>
    </row>
    <row r="739">
      <c r="F739" s="2"/>
      <c r="G739" s="2"/>
    </row>
    <row r="740">
      <c r="F740" s="2"/>
      <c r="G740" s="2"/>
    </row>
    <row r="741">
      <c r="F741" s="2"/>
      <c r="G741" s="2"/>
    </row>
    <row r="742">
      <c r="F742" s="2"/>
      <c r="G742" s="2"/>
    </row>
    <row r="743">
      <c r="F743" s="2"/>
      <c r="G743" s="2"/>
    </row>
    <row r="744">
      <c r="F744" s="2"/>
      <c r="G744" s="2"/>
    </row>
    <row r="745">
      <c r="F745" s="2"/>
      <c r="G745" s="2"/>
    </row>
    <row r="746">
      <c r="F746" s="2"/>
      <c r="G746" s="2"/>
    </row>
    <row r="747">
      <c r="F747" s="2"/>
      <c r="G747" s="2"/>
    </row>
    <row r="748">
      <c r="F748" s="2"/>
      <c r="G748" s="2"/>
    </row>
    <row r="749">
      <c r="F749" s="2"/>
      <c r="G749" s="2"/>
    </row>
    <row r="750">
      <c r="F750" s="2"/>
      <c r="G750" s="2"/>
    </row>
    <row r="751">
      <c r="F751" s="2"/>
      <c r="G751" s="2"/>
    </row>
    <row r="752">
      <c r="F752" s="2"/>
      <c r="G752" s="2"/>
    </row>
    <row r="753">
      <c r="F753" s="2"/>
      <c r="G753" s="2"/>
    </row>
    <row r="754">
      <c r="F754" s="2"/>
      <c r="G754" s="2"/>
    </row>
    <row r="755">
      <c r="F755" s="2"/>
      <c r="G755" s="2"/>
    </row>
    <row r="756">
      <c r="F756" s="2"/>
      <c r="G756" s="2"/>
    </row>
    <row r="757">
      <c r="F757" s="2"/>
      <c r="G757" s="2"/>
    </row>
    <row r="758">
      <c r="F758" s="2"/>
      <c r="G758" s="2"/>
    </row>
    <row r="759">
      <c r="F759" s="2"/>
      <c r="G759" s="2"/>
    </row>
    <row r="760">
      <c r="F760" s="2"/>
      <c r="G760" s="2"/>
    </row>
    <row r="761">
      <c r="F761" s="2"/>
      <c r="G761" s="2"/>
    </row>
    <row r="762">
      <c r="F762" s="2"/>
      <c r="G762" s="2"/>
    </row>
    <row r="763">
      <c r="F763" s="2"/>
      <c r="G763" s="2"/>
    </row>
    <row r="764">
      <c r="F764" s="2"/>
      <c r="G764" s="2"/>
    </row>
    <row r="765">
      <c r="F765" s="2"/>
      <c r="G765" s="2"/>
    </row>
    <row r="766">
      <c r="F766" s="2"/>
      <c r="G766" s="2"/>
    </row>
    <row r="767">
      <c r="F767" s="2"/>
      <c r="G767" s="2"/>
    </row>
    <row r="768">
      <c r="F768" s="2"/>
      <c r="G768" s="2"/>
    </row>
    <row r="769">
      <c r="F769" s="2"/>
      <c r="G769" s="2"/>
    </row>
    <row r="770">
      <c r="F770" s="2"/>
      <c r="G770" s="2"/>
    </row>
    <row r="771">
      <c r="F771" s="2"/>
      <c r="G771" s="2"/>
    </row>
    <row r="772">
      <c r="F772" s="2"/>
      <c r="G772" s="2"/>
    </row>
    <row r="773">
      <c r="F773" s="2"/>
      <c r="G773" s="2"/>
    </row>
    <row r="774">
      <c r="F774" s="2"/>
      <c r="G774" s="2"/>
    </row>
    <row r="775">
      <c r="F775" s="2"/>
      <c r="G775" s="2"/>
    </row>
    <row r="776">
      <c r="F776" s="2"/>
      <c r="G776" s="2"/>
    </row>
    <row r="777">
      <c r="F777" s="2"/>
      <c r="G777" s="2"/>
    </row>
    <row r="778">
      <c r="F778" s="2"/>
      <c r="G778" s="2"/>
    </row>
    <row r="779">
      <c r="F779" s="2"/>
      <c r="G779" s="2"/>
    </row>
    <row r="780">
      <c r="F780" s="2"/>
      <c r="G780" s="2"/>
    </row>
    <row r="781">
      <c r="F781" s="2"/>
      <c r="G781" s="2"/>
    </row>
    <row r="782">
      <c r="F782" s="2"/>
      <c r="G782" s="2"/>
    </row>
    <row r="783">
      <c r="F783" s="2"/>
      <c r="G783" s="2"/>
    </row>
    <row r="784">
      <c r="F784" s="2"/>
      <c r="G784" s="2"/>
    </row>
    <row r="785">
      <c r="F785" s="2"/>
      <c r="G785" s="2"/>
    </row>
    <row r="786">
      <c r="F786" s="2"/>
      <c r="G786" s="2"/>
    </row>
    <row r="787">
      <c r="F787" s="2"/>
      <c r="G787" s="2"/>
    </row>
    <row r="788">
      <c r="F788" s="2"/>
      <c r="G788" s="2"/>
    </row>
    <row r="789">
      <c r="F789" s="2"/>
      <c r="G789" s="2"/>
    </row>
    <row r="790">
      <c r="F790" s="2"/>
      <c r="G790" s="2"/>
    </row>
    <row r="791">
      <c r="F791" s="2"/>
      <c r="G791" s="2"/>
    </row>
    <row r="792">
      <c r="F792" s="2"/>
      <c r="G792" s="2"/>
    </row>
    <row r="793">
      <c r="F793" s="2"/>
      <c r="G793" s="2"/>
    </row>
    <row r="794">
      <c r="F794" s="2"/>
      <c r="G794" s="2"/>
    </row>
    <row r="795">
      <c r="F795" s="2"/>
      <c r="G795" s="2"/>
    </row>
    <row r="796">
      <c r="F796" s="2"/>
      <c r="G796" s="2"/>
    </row>
    <row r="797">
      <c r="F797" s="2"/>
      <c r="G797" s="2"/>
    </row>
    <row r="798">
      <c r="F798" s="2"/>
      <c r="G798" s="2"/>
    </row>
    <row r="799">
      <c r="F799" s="2"/>
      <c r="G799" s="2"/>
    </row>
    <row r="800">
      <c r="F800" s="2"/>
      <c r="G800" s="2"/>
    </row>
    <row r="801">
      <c r="F801" s="2"/>
      <c r="G801" s="2"/>
    </row>
    <row r="802">
      <c r="F802" s="2"/>
      <c r="G802" s="2"/>
    </row>
    <row r="803">
      <c r="F803" s="2"/>
      <c r="G803" s="2"/>
    </row>
    <row r="804">
      <c r="F804" s="2"/>
      <c r="G804" s="2"/>
    </row>
    <row r="805">
      <c r="F805" s="2"/>
      <c r="G805" s="2"/>
    </row>
    <row r="806">
      <c r="F806" s="2"/>
      <c r="G806" s="2"/>
    </row>
    <row r="807">
      <c r="F807" s="2"/>
      <c r="G807" s="2"/>
    </row>
    <row r="808">
      <c r="F808" s="2"/>
      <c r="G808" s="2"/>
    </row>
    <row r="809">
      <c r="F809" s="2"/>
      <c r="G809" s="2"/>
    </row>
    <row r="810">
      <c r="F810" s="2"/>
      <c r="G810" s="2"/>
    </row>
    <row r="811">
      <c r="F811" s="2"/>
      <c r="G811" s="2"/>
    </row>
    <row r="812">
      <c r="F812" s="2"/>
      <c r="G812" s="2"/>
    </row>
    <row r="813">
      <c r="F813" s="2"/>
      <c r="G813" s="2"/>
    </row>
    <row r="814">
      <c r="F814" s="2"/>
      <c r="G814" s="2"/>
    </row>
    <row r="815">
      <c r="F815" s="2"/>
      <c r="G815" s="2"/>
    </row>
    <row r="816">
      <c r="F816" s="2"/>
      <c r="G816" s="2"/>
    </row>
    <row r="817">
      <c r="F817" s="2"/>
      <c r="G817" s="2"/>
    </row>
    <row r="818">
      <c r="F818" s="2"/>
      <c r="G818" s="2"/>
    </row>
    <row r="819">
      <c r="F819" s="2"/>
      <c r="G819" s="2"/>
    </row>
    <row r="820">
      <c r="F820" s="2"/>
      <c r="G820" s="2"/>
    </row>
    <row r="821">
      <c r="F821" s="2"/>
      <c r="G821" s="2"/>
    </row>
    <row r="822">
      <c r="F822" s="2"/>
      <c r="G822" s="2"/>
    </row>
    <row r="823">
      <c r="F823" s="2"/>
      <c r="G823" s="2"/>
    </row>
    <row r="824">
      <c r="F824" s="2"/>
      <c r="G824" s="2"/>
    </row>
    <row r="825">
      <c r="F825" s="2"/>
      <c r="G825" s="2"/>
    </row>
    <row r="826">
      <c r="F826" s="2"/>
      <c r="G826" s="2"/>
    </row>
    <row r="827">
      <c r="F827" s="2"/>
      <c r="G827" s="2"/>
    </row>
    <row r="828">
      <c r="F828" s="2"/>
      <c r="G828" s="2"/>
    </row>
    <row r="829">
      <c r="F829" s="2"/>
      <c r="G829" s="2"/>
    </row>
    <row r="830">
      <c r="F830" s="2"/>
      <c r="G830" s="2"/>
    </row>
    <row r="831">
      <c r="F831" s="2"/>
      <c r="G831" s="2"/>
    </row>
    <row r="832">
      <c r="F832" s="2"/>
      <c r="G832" s="2"/>
    </row>
    <row r="833">
      <c r="F833" s="2"/>
      <c r="G833" s="2"/>
    </row>
    <row r="834">
      <c r="F834" s="2"/>
      <c r="G834" s="2"/>
    </row>
    <row r="835">
      <c r="F835" s="2"/>
      <c r="G835" s="2"/>
    </row>
    <row r="836">
      <c r="F836" s="2"/>
      <c r="G836" s="2"/>
    </row>
    <row r="837">
      <c r="F837" s="2"/>
      <c r="G837" s="2"/>
    </row>
    <row r="838">
      <c r="F838" s="2"/>
      <c r="G838" s="2"/>
    </row>
    <row r="839">
      <c r="F839" s="2"/>
      <c r="G839" s="2"/>
    </row>
    <row r="840">
      <c r="F840" s="2"/>
      <c r="G840" s="2"/>
    </row>
    <row r="841">
      <c r="F841" s="2"/>
      <c r="G841" s="2"/>
    </row>
    <row r="842">
      <c r="F842" s="2"/>
      <c r="G842" s="2"/>
    </row>
    <row r="843">
      <c r="F843" s="2"/>
      <c r="G843" s="2"/>
    </row>
    <row r="844">
      <c r="F844" s="2"/>
      <c r="G844" s="2"/>
    </row>
    <row r="845">
      <c r="F845" s="2"/>
      <c r="G845" s="2"/>
    </row>
    <row r="846">
      <c r="F846" s="2"/>
      <c r="G846" s="2"/>
    </row>
    <row r="847">
      <c r="F847" s="2"/>
      <c r="G847" s="2"/>
    </row>
    <row r="848">
      <c r="F848" s="2"/>
      <c r="G848" s="2"/>
    </row>
    <row r="849">
      <c r="F849" s="2"/>
      <c r="G849" s="2"/>
    </row>
    <row r="850">
      <c r="F850" s="2"/>
      <c r="G850" s="2"/>
    </row>
    <row r="851">
      <c r="F851" s="2"/>
      <c r="G851" s="2"/>
    </row>
    <row r="852">
      <c r="F852" s="2"/>
      <c r="G852" s="2"/>
    </row>
    <row r="853">
      <c r="F853" s="2"/>
      <c r="G853" s="2"/>
    </row>
    <row r="854">
      <c r="F854" s="2"/>
      <c r="G854" s="2"/>
    </row>
    <row r="855">
      <c r="F855" s="2"/>
      <c r="G855" s="2"/>
    </row>
    <row r="856">
      <c r="F856" s="2"/>
      <c r="G856" s="2"/>
    </row>
    <row r="857">
      <c r="F857" s="2"/>
      <c r="G857" s="2"/>
    </row>
    <row r="858">
      <c r="F858" s="2"/>
      <c r="G858" s="2"/>
    </row>
    <row r="859">
      <c r="F859" s="2"/>
      <c r="G859" s="2"/>
    </row>
    <row r="860">
      <c r="F860" s="2"/>
      <c r="G860" s="2"/>
    </row>
    <row r="861">
      <c r="F861" s="2"/>
      <c r="G861" s="2"/>
    </row>
    <row r="862">
      <c r="F862" s="2"/>
      <c r="G862" s="2"/>
    </row>
    <row r="863">
      <c r="F863" s="2"/>
      <c r="G863" s="2"/>
    </row>
    <row r="864">
      <c r="F864" s="2"/>
      <c r="G864" s="2"/>
    </row>
    <row r="865">
      <c r="F865" s="2"/>
      <c r="G865" s="2"/>
    </row>
    <row r="866">
      <c r="F866" s="2"/>
      <c r="G866" s="2"/>
    </row>
    <row r="867">
      <c r="F867" s="2"/>
      <c r="G867" s="2"/>
    </row>
    <row r="868">
      <c r="F868" s="2"/>
      <c r="G868" s="2"/>
    </row>
    <row r="869">
      <c r="F869" s="2"/>
      <c r="G869" s="2"/>
    </row>
    <row r="870">
      <c r="F870" s="2"/>
      <c r="G870" s="2"/>
    </row>
    <row r="871">
      <c r="F871" s="2"/>
      <c r="G871" s="2"/>
    </row>
    <row r="872">
      <c r="F872" s="2"/>
      <c r="G872" s="2"/>
    </row>
    <row r="873">
      <c r="F873" s="2"/>
      <c r="G873" s="2"/>
    </row>
    <row r="874">
      <c r="F874" s="2"/>
      <c r="G874" s="2"/>
    </row>
    <row r="875">
      <c r="F875" s="2"/>
      <c r="G875" s="2"/>
    </row>
    <row r="876">
      <c r="F876" s="2"/>
      <c r="G876" s="2"/>
    </row>
    <row r="877">
      <c r="F877" s="2"/>
      <c r="G877" s="2"/>
    </row>
    <row r="878">
      <c r="F878" s="2"/>
      <c r="G878" s="2"/>
    </row>
    <row r="879">
      <c r="F879" s="2"/>
      <c r="G879" s="2"/>
    </row>
    <row r="880">
      <c r="F880" s="2"/>
      <c r="G880" s="2"/>
    </row>
    <row r="881">
      <c r="F881" s="2"/>
      <c r="G881" s="2"/>
    </row>
    <row r="882">
      <c r="F882" s="2"/>
      <c r="G882" s="2"/>
    </row>
    <row r="883">
      <c r="F883" s="2"/>
      <c r="G883" s="2"/>
    </row>
    <row r="884">
      <c r="F884" s="2"/>
      <c r="G884" s="2"/>
    </row>
    <row r="885">
      <c r="F885" s="2"/>
      <c r="G885" s="2"/>
    </row>
    <row r="886">
      <c r="F886" s="2"/>
      <c r="G886" s="2"/>
    </row>
    <row r="887">
      <c r="F887" s="2"/>
      <c r="G887" s="2"/>
    </row>
    <row r="888">
      <c r="F888" s="2"/>
      <c r="G888" s="2"/>
    </row>
    <row r="889">
      <c r="F889" s="2"/>
      <c r="G889" s="2"/>
    </row>
    <row r="890">
      <c r="F890" s="2"/>
      <c r="G890" s="2"/>
    </row>
    <row r="891">
      <c r="F891" s="2"/>
      <c r="G891" s="2"/>
    </row>
    <row r="892">
      <c r="F892" s="2"/>
      <c r="G892" s="2"/>
    </row>
    <row r="893">
      <c r="F893" s="2"/>
      <c r="G893" s="2"/>
    </row>
    <row r="894">
      <c r="F894" s="2"/>
      <c r="G894" s="2"/>
    </row>
    <row r="895">
      <c r="F895" s="2"/>
      <c r="G895" s="2"/>
    </row>
    <row r="896">
      <c r="F896" s="2"/>
      <c r="G896" s="2"/>
    </row>
    <row r="897">
      <c r="F897" s="2"/>
      <c r="G897" s="2"/>
    </row>
    <row r="898">
      <c r="F898" s="2"/>
      <c r="G898" s="2"/>
    </row>
    <row r="899">
      <c r="F899" s="2"/>
      <c r="G899" s="2"/>
    </row>
    <row r="900">
      <c r="F900" s="2"/>
      <c r="G900" s="2"/>
    </row>
    <row r="901">
      <c r="F901" s="2"/>
      <c r="G901" s="2"/>
    </row>
    <row r="902">
      <c r="F902" s="2"/>
      <c r="G902" s="2"/>
    </row>
    <row r="903">
      <c r="F903" s="2"/>
      <c r="G903" s="2"/>
    </row>
    <row r="904">
      <c r="F904" s="2"/>
      <c r="G904" s="2"/>
    </row>
    <row r="905">
      <c r="F905" s="2"/>
      <c r="G905" s="2"/>
    </row>
    <row r="906">
      <c r="F906" s="2"/>
      <c r="G906" s="2"/>
    </row>
    <row r="907">
      <c r="F907" s="2"/>
      <c r="G907" s="2"/>
    </row>
    <row r="908">
      <c r="F908" s="2"/>
      <c r="G908" s="2"/>
    </row>
    <row r="909">
      <c r="F909" s="2"/>
      <c r="G909" s="2"/>
    </row>
    <row r="910">
      <c r="F910" s="2"/>
      <c r="G910" s="2"/>
    </row>
    <row r="911">
      <c r="F911" s="2"/>
      <c r="G911" s="2"/>
    </row>
    <row r="912">
      <c r="F912" s="2"/>
      <c r="G912" s="2"/>
    </row>
    <row r="913">
      <c r="F913" s="2"/>
      <c r="G913" s="2"/>
    </row>
    <row r="914">
      <c r="F914" s="2"/>
      <c r="G914" s="2"/>
    </row>
    <row r="915">
      <c r="F915" s="2"/>
      <c r="G915" s="2"/>
    </row>
    <row r="916">
      <c r="F916" s="2"/>
      <c r="G916" s="2"/>
    </row>
    <row r="917">
      <c r="F917" s="2"/>
      <c r="G917" s="2"/>
    </row>
    <row r="918">
      <c r="F918" s="2"/>
      <c r="G918" s="2"/>
    </row>
    <row r="919">
      <c r="F919" s="2"/>
      <c r="G919" s="2"/>
    </row>
    <row r="920">
      <c r="F920" s="2"/>
      <c r="G920" s="2"/>
    </row>
    <row r="921">
      <c r="F921" s="2"/>
      <c r="G921" s="2"/>
    </row>
    <row r="922">
      <c r="F922" s="2"/>
      <c r="G922" s="2"/>
    </row>
    <row r="923">
      <c r="F923" s="2"/>
      <c r="G923" s="2"/>
    </row>
    <row r="924">
      <c r="F924" s="2"/>
      <c r="G924" s="2"/>
    </row>
    <row r="925">
      <c r="F925" s="2"/>
      <c r="G925" s="2"/>
    </row>
    <row r="926">
      <c r="F926" s="2"/>
      <c r="G926" s="2"/>
    </row>
    <row r="927">
      <c r="F927" s="2"/>
      <c r="G927" s="2"/>
    </row>
    <row r="928">
      <c r="F928" s="2"/>
      <c r="G928" s="2"/>
    </row>
    <row r="929">
      <c r="F929" s="2"/>
      <c r="G929" s="2"/>
    </row>
    <row r="930">
      <c r="F930" s="2"/>
      <c r="G930" s="2"/>
    </row>
    <row r="931">
      <c r="F931" s="2"/>
      <c r="G931" s="2"/>
    </row>
    <row r="932">
      <c r="F932" s="2"/>
      <c r="G932" s="2"/>
    </row>
    <row r="933">
      <c r="F933" s="2"/>
      <c r="G933" s="2"/>
    </row>
    <row r="934">
      <c r="F934" s="2"/>
      <c r="G934" s="2"/>
    </row>
    <row r="935">
      <c r="F935" s="2"/>
      <c r="G935" s="2"/>
    </row>
    <row r="936">
      <c r="F936" s="2"/>
      <c r="G936" s="2"/>
    </row>
    <row r="937">
      <c r="F937" s="2"/>
      <c r="G937" s="2"/>
    </row>
    <row r="938">
      <c r="F938" s="2"/>
      <c r="G938" s="2"/>
    </row>
    <row r="939">
      <c r="F939" s="2"/>
      <c r="G939" s="2"/>
    </row>
    <row r="940">
      <c r="F940" s="2"/>
      <c r="G940" s="2"/>
    </row>
    <row r="941">
      <c r="F941" s="2"/>
      <c r="G941" s="2"/>
    </row>
    <row r="942">
      <c r="F942" s="2"/>
      <c r="G942" s="2"/>
    </row>
    <row r="943">
      <c r="F943" s="2"/>
      <c r="G943" s="2"/>
    </row>
    <row r="944">
      <c r="F944" s="2"/>
      <c r="G944" s="2"/>
    </row>
    <row r="945">
      <c r="F945" s="2"/>
      <c r="G945" s="2"/>
    </row>
    <row r="946">
      <c r="F946" s="2"/>
      <c r="G946" s="2"/>
    </row>
    <row r="947">
      <c r="F947" s="2"/>
      <c r="G947" s="2"/>
    </row>
    <row r="948">
      <c r="F948" s="2"/>
      <c r="G948" s="2"/>
    </row>
    <row r="949">
      <c r="F949" s="2"/>
      <c r="G949" s="2"/>
    </row>
    <row r="950">
      <c r="F950" s="2"/>
      <c r="G950" s="2"/>
    </row>
    <row r="951">
      <c r="F951" s="2"/>
      <c r="G951" s="2"/>
    </row>
    <row r="952">
      <c r="F952" s="2"/>
      <c r="G952" s="2"/>
    </row>
    <row r="953">
      <c r="F953" s="2"/>
      <c r="G953" s="2"/>
    </row>
    <row r="954">
      <c r="F954" s="2"/>
      <c r="G954" s="2"/>
    </row>
    <row r="955">
      <c r="F955" s="2"/>
      <c r="G955" s="2"/>
    </row>
    <row r="956">
      <c r="F956" s="2"/>
      <c r="G956" s="2"/>
    </row>
    <row r="957">
      <c r="F957" s="2"/>
      <c r="G957" s="2"/>
    </row>
    <row r="958">
      <c r="F958" s="2"/>
      <c r="G958" s="2"/>
    </row>
    <row r="959">
      <c r="F959" s="2"/>
      <c r="G959" s="2"/>
    </row>
    <row r="960">
      <c r="F960" s="2"/>
      <c r="G960" s="2"/>
    </row>
    <row r="961">
      <c r="F961" s="2"/>
      <c r="G961" s="2"/>
    </row>
    <row r="962">
      <c r="F962" s="2"/>
      <c r="G962" s="2"/>
    </row>
    <row r="963">
      <c r="F963" s="2"/>
      <c r="G963" s="2"/>
    </row>
    <row r="964">
      <c r="F964" s="2"/>
      <c r="G964" s="2"/>
    </row>
    <row r="965">
      <c r="F965" s="2"/>
      <c r="G965" s="2"/>
    </row>
    <row r="966">
      <c r="F966" s="2"/>
      <c r="G966" s="2"/>
    </row>
    <row r="967">
      <c r="F967" s="2"/>
      <c r="G967" s="2"/>
    </row>
    <row r="968">
      <c r="F968" s="2"/>
      <c r="G968" s="2"/>
    </row>
    <row r="969">
      <c r="F969" s="2"/>
      <c r="G969" s="2"/>
    </row>
    <row r="970">
      <c r="F970" s="2"/>
      <c r="G970" s="2"/>
    </row>
    <row r="971">
      <c r="F971" s="2"/>
      <c r="G971" s="2"/>
    </row>
    <row r="972">
      <c r="F972" s="2"/>
      <c r="G972" s="2"/>
    </row>
    <row r="973">
      <c r="F973" s="2"/>
      <c r="G973" s="2"/>
    </row>
    <row r="974">
      <c r="F974" s="2"/>
      <c r="G974" s="2"/>
    </row>
    <row r="975">
      <c r="F975" s="2"/>
      <c r="G975" s="2"/>
    </row>
    <row r="976">
      <c r="F976" s="2"/>
      <c r="G976" s="2"/>
    </row>
    <row r="977">
      <c r="F977" s="2"/>
      <c r="G977" s="2"/>
    </row>
    <row r="978">
      <c r="F978" s="2"/>
      <c r="G978" s="2"/>
    </row>
    <row r="979">
      <c r="F979" s="2"/>
      <c r="G979" s="2"/>
    </row>
    <row r="980">
      <c r="F980" s="2"/>
      <c r="G980" s="2"/>
    </row>
    <row r="981">
      <c r="F981" s="2"/>
      <c r="G981" s="2"/>
    </row>
    <row r="982">
      <c r="F982" s="2"/>
      <c r="G982" s="2"/>
    </row>
    <row r="983">
      <c r="F983" s="2"/>
      <c r="G983" s="2"/>
    </row>
    <row r="984">
      <c r="F984" s="2"/>
      <c r="G984" s="2"/>
    </row>
    <row r="985">
      <c r="F985" s="2"/>
      <c r="G985" s="2"/>
    </row>
    <row r="986">
      <c r="F986" s="2"/>
      <c r="G986" s="2"/>
    </row>
    <row r="987">
      <c r="F987" s="2"/>
      <c r="G987" s="2"/>
    </row>
    <row r="988">
      <c r="F988" s="2"/>
      <c r="G988" s="2"/>
    </row>
    <row r="989">
      <c r="F989" s="2"/>
      <c r="G989" s="2"/>
    </row>
    <row r="990">
      <c r="F990" s="2"/>
      <c r="G990" s="2"/>
    </row>
    <row r="991">
      <c r="F991" s="2"/>
      <c r="G991" s="2"/>
    </row>
    <row r="992">
      <c r="F992" s="2"/>
      <c r="G992" s="2"/>
    </row>
    <row r="993">
      <c r="F993" s="2"/>
      <c r="G993" s="2"/>
    </row>
    <row r="994">
      <c r="F994" s="2"/>
      <c r="G994" s="2"/>
    </row>
    <row r="995">
      <c r="F995" s="2"/>
      <c r="G995" s="2"/>
    </row>
    <row r="996">
      <c r="F996" s="2"/>
      <c r="G996" s="2"/>
    </row>
    <row r="997">
      <c r="F997" s="2"/>
      <c r="G997" s="2"/>
    </row>
    <row r="998">
      <c r="F998" s="2"/>
      <c r="G998" s="2"/>
    </row>
    <row r="999">
      <c r="F999" s="2"/>
      <c r="G999" s="2"/>
    </row>
    <row r="1000">
      <c r="F1000" s="2"/>
      <c r="G1000" s="2"/>
    </row>
    <row r="1001">
      <c r="F1001" s="2"/>
      <c r="G1001" s="2"/>
    </row>
    <row r="1002">
      <c r="F1002" s="2"/>
      <c r="G1002" s="2"/>
    </row>
    <row r="1003">
      <c r="F1003" s="2"/>
      <c r="G1003" s="2"/>
    </row>
    <row r="1004">
      <c r="F1004" s="2"/>
      <c r="G1004" s="2"/>
    </row>
    <row r="1005">
      <c r="F1005" s="2"/>
      <c r="G1005" s="2"/>
    </row>
  </sheetData>
  <mergeCells count="23">
    <mergeCell ref="B2:F2"/>
    <mergeCell ref="C4:F4"/>
    <mergeCell ref="C5:F5"/>
    <mergeCell ref="C9:D9"/>
    <mergeCell ref="C10:F10"/>
    <mergeCell ref="B26:D26"/>
    <mergeCell ref="B31:D31"/>
    <mergeCell ref="B62:D62"/>
    <mergeCell ref="B63:C63"/>
    <mergeCell ref="B64:C64"/>
    <mergeCell ref="B66:C66"/>
    <mergeCell ref="B67:C67"/>
    <mergeCell ref="B69:C69"/>
    <mergeCell ref="B65:C65"/>
    <mergeCell ref="B77:C77"/>
    <mergeCell ref="C89:F89"/>
    <mergeCell ref="B70:C70"/>
    <mergeCell ref="B71:C71"/>
    <mergeCell ref="B72:C72"/>
    <mergeCell ref="B73:C73"/>
    <mergeCell ref="B74:C74"/>
    <mergeCell ref="B75:C75"/>
    <mergeCell ref="B76:C76"/>
  </mergeCells>
  <dataValidations>
    <dataValidation type="list" allowBlank="1" showInputMessage="1" showErrorMessage="1" prompt="학력 작성방법 - ※ 학위를 취득하신 경우에만 _x000a_경력으로 가산 가능합니다._x000a_(과정 수료 또는 이수는 미해당)_x000a__x000a_" sqref="F15:F17">
      <formula1>"재학중,과정수료,학위취득,기타"</formula1>
    </dataValidation>
    <dataValidation type="list" allowBlank="1" showInputMessage="1" showErrorMessage="1" prompt="학력 작성방법 - ※ 학위를 취득하신 경우에만 경력으로 가산 가능합니다._x000a_(과정 수료 또는 이수는 미해당)_x000a__x000a_" sqref="F14">
      <formula1>"재학중,과정수료,학위취득,기타"</formula1>
    </dataValidation>
    <dataValidation type="date" allowBlank="1" showInputMessage="1" showErrorMessage="1" prompt="날짜 입력 방법 - &quot;YYYY-MM-DD&quot; _x000a_형식으로 기입해 주세요._x000a_(예시) &quot;2019-12-30&quot;" sqref="E34:G43 E47:G61">
      <formula1>7306.0</formula1>
      <formula2>73051.0</formula2>
    </dataValidation>
  </dataValidations>
  <printOptions/>
  <pageMargins bottom="0.7480314960629921" footer="0.0" header="0.0" left="0.7086614173228347" right="0.7086614173228347" top="0.7480314960629921"/>
  <pageSetup paperSize="9" orientation="portrait"/>
  <rowBreaks count="1" manualBreakCount="1">
    <brk id="58" man="1"/>
  </rowBreak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1"/>
    <col customWidth="1" min="2" max="2" width="35.29"/>
    <col customWidth="1" min="3" max="4" width="10.43"/>
    <col customWidth="1" min="5" max="5" width="12.86"/>
    <col customWidth="1" min="6" max="6" width="11.57"/>
    <col customWidth="1" min="7" max="8" width="10.43"/>
    <col customWidth="1" min="9" max="9" width="18.0"/>
    <col customWidth="1" min="10" max="10" width="11.57"/>
    <col customWidth="1" min="11" max="11" width="8.14"/>
    <col customWidth="1" min="12" max="13" width="8.71"/>
    <col customWidth="1" min="14" max="14" width="10.57"/>
    <col customWidth="1" min="15" max="15" width="8.71"/>
    <col customWidth="1" min="16" max="16" width="10.57"/>
    <col customWidth="1" min="17" max="17" width="8.71"/>
    <col customWidth="1" min="18" max="18" width="12.43"/>
    <col customWidth="1" min="19" max="26" width="8.71"/>
  </cols>
  <sheetData>
    <row r="1" ht="14.25" customHeight="1">
      <c r="A1" s="110" t="s">
        <v>146</v>
      </c>
      <c r="B1" s="111"/>
      <c r="C1" s="111"/>
      <c r="D1" s="111"/>
      <c r="E1" s="111"/>
      <c r="F1" s="111"/>
      <c r="G1" s="111"/>
      <c r="H1" s="111"/>
      <c r="I1" s="111"/>
      <c r="J1" s="111"/>
      <c r="K1" s="111"/>
      <c r="L1" s="111"/>
      <c r="M1" s="111"/>
      <c r="N1" s="111"/>
      <c r="O1" s="111"/>
      <c r="P1" s="111"/>
      <c r="Q1" s="111"/>
      <c r="R1" s="111"/>
      <c r="S1" s="111"/>
      <c r="T1" s="111"/>
    </row>
    <row r="2" ht="14.25" customHeight="1">
      <c r="A2" s="112" t="s">
        <v>147</v>
      </c>
      <c r="B2" s="113" t="s">
        <v>148</v>
      </c>
      <c r="C2" s="112" t="s">
        <v>149</v>
      </c>
      <c r="D2" s="112" t="s">
        <v>150</v>
      </c>
      <c r="E2" s="112" t="s">
        <v>151</v>
      </c>
      <c r="F2" s="112" t="s">
        <v>152</v>
      </c>
      <c r="G2" s="112" t="s">
        <v>153</v>
      </c>
      <c r="H2" s="114" t="s">
        <v>154</v>
      </c>
      <c r="I2" s="113" t="s">
        <v>155</v>
      </c>
      <c r="J2" s="115" t="s">
        <v>156</v>
      </c>
      <c r="K2" s="115" t="s">
        <v>157</v>
      </c>
      <c r="L2" s="115" t="s">
        <v>158</v>
      </c>
      <c r="M2" s="115" t="s">
        <v>159</v>
      </c>
      <c r="N2" s="114" t="s">
        <v>160</v>
      </c>
      <c r="O2" s="114" t="s">
        <v>161</v>
      </c>
      <c r="P2" s="114" t="s">
        <v>162</v>
      </c>
      <c r="Q2" s="114" t="s">
        <v>161</v>
      </c>
      <c r="R2" s="114" t="s">
        <v>163</v>
      </c>
      <c r="S2" s="114" t="s">
        <v>161</v>
      </c>
      <c r="T2" s="114" t="s">
        <v>164</v>
      </c>
      <c r="U2" s="58"/>
      <c r="V2" s="58"/>
      <c r="W2" s="58"/>
      <c r="X2" s="58"/>
      <c r="Y2" s="58"/>
      <c r="Z2" s="58"/>
    </row>
    <row r="3" ht="14.25" customHeight="1">
      <c r="A3" s="116">
        <v>1.0</v>
      </c>
      <c r="B3" s="117" t="str">
        <f>'전문가 지원서 양식'!C4</f>
        <v/>
      </c>
      <c r="C3" s="117" t="str">
        <f>'전문가 지원서 양식'!C8</f>
        <v>정재민</v>
      </c>
      <c r="D3" s="117" t="str">
        <f>'전문가 지원서 양식'!D8</f>
        <v>JAEMIN JEREMY BONAVENTURA JEONG</v>
      </c>
      <c r="E3" s="116" t="str">
        <f>'전문가 지원서 양식'!B34</f>
        <v>보나벤투라</v>
      </c>
      <c r="F3" s="116" t="str">
        <f>'전문가 지원서 양식'!C34</f>
        <v>IT전문가</v>
      </c>
      <c r="G3" s="116" t="str">
        <f>'전문가 지원서 양식'!C5</f>
        <v/>
      </c>
      <c r="H3" s="116"/>
      <c r="I3" s="117" t="str">
        <f>'전문가 지원서 양식'!C9</f>
        <v>jaeminjjeong@gmail.com</v>
      </c>
      <c r="J3" s="118" t="str">
        <f>'전문가 지원서 양식'!F9</f>
        <v>010-5840-9500</v>
      </c>
      <c r="K3" s="117" t="str">
        <f>CONCATENATE('전문가 지원서 양식'!B21,'전문가 지원서 양식'!C21,'전문가 지원서 양식'!D21)</f>
        <v>영어IELTS7.0</v>
      </c>
      <c r="L3" s="117" t="str">
        <f>CONCATENATE('전문가 지원서 양식'!B22,'전문가 지원서 양식'!C22,'전문가 지원서 양식'!D22)</f>
        <v/>
      </c>
      <c r="M3" s="117" t="str">
        <f>CONCATENATE('전문가 지원서 양식'!B23,'전문가 지원서 양식'!C23,'전문가 지원서 양식'!D23)</f>
        <v/>
      </c>
      <c r="N3" s="116"/>
      <c r="O3" s="116"/>
      <c r="P3" s="116"/>
      <c r="Q3" s="116"/>
      <c r="R3" s="116"/>
      <c r="S3" s="116"/>
      <c r="T3" s="119">
        <f>(O3+Q3+S3)/3</f>
        <v>0</v>
      </c>
      <c r="U3" s="58"/>
      <c r="V3" s="58"/>
      <c r="W3" s="58"/>
      <c r="X3" s="58"/>
      <c r="Y3" s="58"/>
      <c r="Z3" s="58"/>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T1"/>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pageSetUpPr/>
  </sheetPr>
  <sheetViews>
    <sheetView workbookViewId="0"/>
  </sheetViews>
  <sheetFormatPr customHeight="1" defaultColWidth="14.43" defaultRowHeight="15.0"/>
  <cols>
    <col customWidth="1" min="1" max="1" width="8.71"/>
    <col customWidth="1" min="2" max="2" width="14.43"/>
    <col customWidth="1" min="3" max="3" width="39.43"/>
    <col customWidth="1" min="4" max="26" width="8.71"/>
  </cols>
  <sheetData>
    <row r="1" ht="14.25" customHeight="1">
      <c r="B1" s="120"/>
    </row>
    <row r="2" ht="14.25" customHeight="1">
      <c r="B2" s="121" t="s">
        <v>165</v>
      </c>
    </row>
    <row r="3" ht="12.0" customHeight="1">
      <c r="B3" s="122"/>
      <c r="C3" s="111"/>
      <c r="D3" s="111"/>
    </row>
    <row r="4" ht="14.25" customHeight="1">
      <c r="B4" s="123" t="s">
        <v>166</v>
      </c>
      <c r="C4" s="123" t="s">
        <v>167</v>
      </c>
      <c r="D4" s="123" t="s">
        <v>168</v>
      </c>
    </row>
    <row r="5" ht="45.75" customHeight="1">
      <c r="B5" s="124" t="s">
        <v>169</v>
      </c>
      <c r="C5" s="125" t="s">
        <v>170</v>
      </c>
      <c r="D5" s="124">
        <v>30.0</v>
      </c>
    </row>
    <row r="6" ht="36.75" customHeight="1">
      <c r="B6" s="126"/>
      <c r="C6" s="127" t="s">
        <v>171</v>
      </c>
      <c r="D6" s="126"/>
    </row>
    <row r="7" ht="27.75" customHeight="1">
      <c r="B7" s="128" t="s">
        <v>172</v>
      </c>
      <c r="C7" s="129" t="s">
        <v>173</v>
      </c>
      <c r="D7" s="128">
        <v>20.0</v>
      </c>
    </row>
    <row r="8" ht="28.5" customHeight="1">
      <c r="B8" s="130"/>
      <c r="C8" s="127" t="s">
        <v>174</v>
      </c>
      <c r="D8" s="126"/>
    </row>
    <row r="9" ht="34.5" customHeight="1">
      <c r="B9" s="130"/>
      <c r="C9" s="131" t="s">
        <v>175</v>
      </c>
      <c r="D9" s="132">
        <v>30.0</v>
      </c>
    </row>
    <row r="10" ht="32.25" customHeight="1">
      <c r="B10" s="126"/>
      <c r="C10" s="131" t="s">
        <v>176</v>
      </c>
      <c r="D10" s="132">
        <v>20.0</v>
      </c>
    </row>
    <row r="11" ht="25.5" customHeight="1">
      <c r="B11" s="133" t="s">
        <v>177</v>
      </c>
      <c r="C11" s="134"/>
      <c r="D11" s="135">
        <v>100.0</v>
      </c>
    </row>
    <row r="12" ht="14.25" customHeight="1">
      <c r="B12" s="136"/>
    </row>
    <row r="13" ht="27.0" customHeight="1">
      <c r="B13" s="137" t="s">
        <v>178</v>
      </c>
    </row>
    <row r="14" ht="61.5" customHeight="1">
      <c r="B14" s="137" t="s">
        <v>179</v>
      </c>
    </row>
    <row r="15" ht="29.25" customHeight="1">
      <c r="B15" s="137" t="s">
        <v>180</v>
      </c>
    </row>
    <row r="16" ht="47.25" customHeight="1">
      <c r="B16" s="137" t="s">
        <v>181</v>
      </c>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
    <mergeCell ref="B12:D12"/>
    <mergeCell ref="B13:D13"/>
    <mergeCell ref="B14:D14"/>
    <mergeCell ref="B15:D15"/>
    <mergeCell ref="B16:D16"/>
    <mergeCell ref="B2:D2"/>
    <mergeCell ref="B3:D3"/>
    <mergeCell ref="B5:B6"/>
    <mergeCell ref="D5:D6"/>
    <mergeCell ref="B7:B10"/>
    <mergeCell ref="D7:D8"/>
    <mergeCell ref="B11:C1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pageSetUpPr/>
  </sheetPr>
  <sheetViews>
    <sheetView workbookViewId="0"/>
  </sheetViews>
  <sheetFormatPr customHeight="1" defaultColWidth="14.43" defaultRowHeight="15.0"/>
  <cols>
    <col customWidth="1" min="1" max="1" width="8.71"/>
    <col customWidth="1" min="2" max="2" width="93.0"/>
    <col customWidth="1" min="3" max="26" width="8.71"/>
  </cols>
  <sheetData>
    <row r="1" ht="14.25" customHeight="1">
      <c r="B1" s="17" t="s">
        <v>182</v>
      </c>
    </row>
    <row r="2" ht="14.25" customHeight="1"/>
    <row r="3" ht="14.25" customHeight="1">
      <c r="A3" s="138" t="s">
        <v>17</v>
      </c>
      <c r="B3" s="139" t="s">
        <v>183</v>
      </c>
    </row>
    <row r="4" ht="19.5" customHeight="1">
      <c r="A4" s="140" t="s">
        <v>184</v>
      </c>
      <c r="B4" s="141" t="s">
        <v>185</v>
      </c>
    </row>
    <row r="5" ht="19.5" customHeight="1">
      <c r="A5" s="142"/>
      <c r="B5" s="143" t="s">
        <v>186</v>
      </c>
    </row>
    <row r="6" ht="19.5" customHeight="1">
      <c r="A6" s="142"/>
      <c r="B6" s="143" t="s">
        <v>187</v>
      </c>
    </row>
    <row r="7" ht="19.5" customHeight="1">
      <c r="A7" s="144"/>
      <c r="B7" s="145" t="s">
        <v>188</v>
      </c>
    </row>
    <row r="8" ht="19.5" customHeight="1">
      <c r="A8" s="146" t="s">
        <v>189</v>
      </c>
      <c r="B8" s="147" t="s">
        <v>190</v>
      </c>
    </row>
    <row r="9" ht="19.5" customHeight="1">
      <c r="A9" s="142"/>
      <c r="B9" s="143" t="s">
        <v>191</v>
      </c>
    </row>
    <row r="10" ht="19.5" customHeight="1">
      <c r="A10" s="142"/>
      <c r="B10" s="143" t="s">
        <v>192</v>
      </c>
    </row>
    <row r="11" ht="19.5" customHeight="1">
      <c r="A11" s="144"/>
      <c r="B11" s="145" t="s">
        <v>193</v>
      </c>
    </row>
    <row r="12" ht="19.5" customHeight="1">
      <c r="A12" s="146" t="s">
        <v>194</v>
      </c>
      <c r="B12" s="147" t="s">
        <v>195</v>
      </c>
    </row>
    <row r="13" ht="19.5" customHeight="1">
      <c r="A13" s="142"/>
      <c r="B13" s="143" t="s">
        <v>196</v>
      </c>
    </row>
    <row r="14" ht="19.5" customHeight="1">
      <c r="A14" s="142"/>
      <c r="B14" s="143" t="s">
        <v>197</v>
      </c>
    </row>
    <row r="15" ht="19.5" customHeight="1">
      <c r="A15" s="144"/>
      <c r="B15" s="145" t="s">
        <v>198</v>
      </c>
    </row>
    <row r="16" ht="19.5" customHeight="1">
      <c r="A16" s="146" t="s">
        <v>199</v>
      </c>
      <c r="B16" s="147" t="s">
        <v>200</v>
      </c>
    </row>
    <row r="17" ht="19.5" customHeight="1">
      <c r="A17" s="142"/>
      <c r="B17" s="143" t="s">
        <v>201</v>
      </c>
    </row>
    <row r="18" ht="19.5" customHeight="1">
      <c r="A18" s="142"/>
      <c r="B18" s="143" t="s">
        <v>202</v>
      </c>
    </row>
    <row r="19" ht="19.5" customHeight="1">
      <c r="A19" s="144"/>
      <c r="B19" s="145" t="s">
        <v>203</v>
      </c>
    </row>
    <row r="20" ht="19.5" customHeight="1">
      <c r="A20" s="148" t="s">
        <v>204</v>
      </c>
      <c r="B20" s="149" t="s">
        <v>205</v>
      </c>
    </row>
    <row r="21" ht="19.5" customHeight="1">
      <c r="A21" s="150" t="s">
        <v>206</v>
      </c>
      <c r="B21" s="151" t="s">
        <v>207</v>
      </c>
    </row>
    <row r="22" ht="14.25" customHeight="1"/>
    <row r="23" ht="102.0" customHeight="1">
      <c r="A23" s="152" t="s">
        <v>208</v>
      </c>
    </row>
    <row r="24" ht="167.25" customHeight="1">
      <c r="A24" s="153" t="s">
        <v>209</v>
      </c>
    </row>
    <row r="25" ht="14.25" customHeight="1">
      <c r="A25" s="154" t="s">
        <v>210</v>
      </c>
    </row>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A4:A7"/>
    <mergeCell ref="A8:A11"/>
    <mergeCell ref="A12:A15"/>
    <mergeCell ref="A16:A19"/>
    <mergeCell ref="A23:B23"/>
    <mergeCell ref="A24:B24"/>
    <mergeCell ref="A25:B25"/>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7.71"/>
    <col customWidth="1" min="3" max="26" width="8.71"/>
  </cols>
  <sheetData>
    <row r="1" ht="14.25" customHeight="1">
      <c r="A1" s="155" t="s">
        <v>211</v>
      </c>
      <c r="B1" s="155" t="s">
        <v>212</v>
      </c>
    </row>
    <row r="2" ht="14.25" customHeight="1">
      <c r="A2" s="156" t="s">
        <v>40</v>
      </c>
      <c r="B2" s="156" t="s">
        <v>213</v>
      </c>
    </row>
    <row r="3" ht="14.25" customHeight="1">
      <c r="A3" s="156" t="s">
        <v>214</v>
      </c>
      <c r="B3" s="156" t="s">
        <v>215</v>
      </c>
    </row>
    <row r="4" ht="14.25" customHeight="1">
      <c r="A4" s="156" t="s">
        <v>216</v>
      </c>
      <c r="B4" s="156" t="s">
        <v>217</v>
      </c>
    </row>
    <row r="5" ht="14.25" customHeight="1">
      <c r="A5" s="156" t="s">
        <v>218</v>
      </c>
      <c r="B5" s="156" t="s">
        <v>33</v>
      </c>
    </row>
    <row r="6" ht="14.25" customHeight="1">
      <c r="A6" s="156" t="s">
        <v>219</v>
      </c>
      <c r="B6" s="156"/>
    </row>
    <row r="7" ht="14.25" customHeight="1">
      <c r="A7" s="156" t="s">
        <v>220</v>
      </c>
      <c r="B7" s="156"/>
    </row>
    <row r="8" ht="14.25" customHeight="1">
      <c r="A8" s="156" t="s">
        <v>221</v>
      </c>
      <c r="B8" s="156"/>
    </row>
    <row r="9" ht="14.25" customHeight="1">
      <c r="A9" s="156" t="s">
        <v>33</v>
      </c>
      <c r="B9" s="156"/>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